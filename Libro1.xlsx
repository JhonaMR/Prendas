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F7CE80A0-6626-4CAD-A57C-AFECFB724903}" xr6:coauthVersionLast="47" xr6:coauthVersionMax="47" xr10:uidLastSave="{00000000-0000-0000-0000-000000000000}"/>
  <bookViews>
    <workbookView xWindow="-120" yWindow="-120" windowWidth="29040" windowHeight="15720" xr2:uid="{23B58A97-40A9-4F46-8B0C-EB8F9F636E9B}"/>
  </bookViews>
  <sheets>
    <sheet name="13098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81" i="1"/>
  <c r="F77" i="1"/>
  <c r="F76" i="1"/>
  <c r="F75" i="1"/>
  <c r="F74" i="1"/>
  <c r="F73" i="1"/>
  <c r="F78" i="1" s="1"/>
  <c r="F72" i="1"/>
  <c r="F71" i="1"/>
  <c r="F66" i="1"/>
  <c r="F65" i="1"/>
  <c r="F64" i="1"/>
  <c r="F63" i="1"/>
  <c r="F62" i="1"/>
  <c r="F61" i="1"/>
  <c r="F60" i="1"/>
  <c r="F59" i="1"/>
  <c r="F58" i="1"/>
  <c r="F67" i="1" s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54" i="1" s="1"/>
  <c r="F30" i="1"/>
  <c r="F29" i="1"/>
  <c r="F28" i="1"/>
  <c r="E28" i="1"/>
  <c r="B28" i="1"/>
  <c r="E27" i="1"/>
  <c r="F27" i="1" s="1"/>
  <c r="B27" i="1"/>
  <c r="E26" i="1"/>
  <c r="F26" i="1" s="1"/>
  <c r="B26" i="1"/>
  <c r="E25" i="1"/>
  <c r="F25" i="1" s="1"/>
  <c r="B25" i="1"/>
  <c r="F24" i="1"/>
  <c r="E24" i="1"/>
  <c r="B24" i="1"/>
  <c r="E23" i="1"/>
  <c r="F23" i="1" s="1"/>
  <c r="B23" i="1"/>
  <c r="I17" i="1"/>
  <c r="C17" i="1"/>
  <c r="F11" i="1"/>
  <c r="C9" i="1"/>
  <c r="F31" i="1" l="1"/>
  <c r="F84" i="1" l="1"/>
  <c r="F85" i="1" s="1"/>
  <c r="F87" i="1" s="1"/>
  <c r="F88" i="1" l="1"/>
  <c r="C15" i="1"/>
  <c r="C14" i="1"/>
  <c r="D17" i="1"/>
  <c r="E17" i="1" s="1"/>
  <c r="D15" i="1" l="1"/>
  <c r="E15" i="1" s="1"/>
  <c r="D16" i="1"/>
  <c r="E16" i="1" s="1"/>
</calcChain>
</file>

<file path=xl/sharedStrings.xml><?xml version="1.0" encoding="utf-8"?>
<sst xmlns="http://schemas.openxmlformats.org/spreadsheetml/2006/main" count="159" uniqueCount="101">
  <si>
    <t xml:space="preserve">ARARE S.A.S. </t>
  </si>
  <si>
    <t>FICHA DE COSTOS UNITARIOS POR REFERENCIA</t>
  </si>
  <si>
    <t>REFERENCIA</t>
  </si>
  <si>
    <t>PROMEDIO</t>
  </si>
  <si>
    <t>MARCA</t>
  </si>
  <si>
    <t>PLOW</t>
  </si>
  <si>
    <t>TELA 1</t>
  </si>
  <si>
    <t>BURDA FRIA</t>
  </si>
  <si>
    <t>OBSERVACIONES ADICIONALES</t>
  </si>
  <si>
    <t>FICHA DE CORTE</t>
  </si>
  <si>
    <t>TELA 2</t>
  </si>
  <si>
    <t xml:space="preserve">FECHA DE CORTE </t>
  </si>
  <si>
    <t>TELA 3</t>
  </si>
  <si>
    <t>BURDA FRIA  DE LA QUE TRAJO DON EFRAIN</t>
  </si>
  <si>
    <t>NOMBRE PRENDA</t>
  </si>
  <si>
    <t>STRA ESTAP</t>
  </si>
  <si>
    <t>TELA 4</t>
  </si>
  <si>
    <t xml:space="preserve">CON UNA TIRA DE SESGO ME SALEN LA TIRA DE AMARRE </t>
  </si>
  <si>
    <t>TELA PRINCIPAL</t>
  </si>
  <si>
    <t>SESGO 1</t>
  </si>
  <si>
    <t>DE UNA TIRA DE SESGO ME SALEN PARA 2 BLUSAS CON OJALETES DE 5 CM</t>
  </si>
  <si>
    <t>COLECCIÓN</t>
  </si>
  <si>
    <t>MADRE</t>
  </si>
  <si>
    <t>SESGO 2</t>
  </si>
  <si>
    <t>DISEÑADORA</t>
  </si>
  <si>
    <t xml:space="preserve">JACKELINE PEREA </t>
  </si>
  <si>
    <t>TOTAL</t>
  </si>
  <si>
    <t>PRECIO DE VENTA VS RENTABILIDAD</t>
  </si>
  <si>
    <t>TRACE 155</t>
  </si>
  <si>
    <t>COSTO TOTAL PRENDA:</t>
  </si>
  <si>
    <t>M.R</t>
  </si>
  <si>
    <t>PRECIO 30%  M.R</t>
  </si>
  <si>
    <t>PRECIO DE VENTA</t>
  </si>
  <si>
    <t>PRECIO CONFECCIONISTA</t>
  </si>
  <si>
    <t>CANT MUESTRAS</t>
  </si>
  <si>
    <t># DE MUESTRA</t>
  </si>
  <si>
    <t>12163-1</t>
  </si>
  <si>
    <t>COSTOS INICIALES PROYECTADOS</t>
  </si>
  <si>
    <t>MATERIA PRIMA</t>
  </si>
  <si>
    <t>UNIDAD DE MEDIDA</t>
  </si>
  <si>
    <t>VALOR UNIDAD</t>
  </si>
  <si>
    <t>CANTIDAD POR UND.</t>
  </si>
  <si>
    <t>COSTO POR PRENDA</t>
  </si>
  <si>
    <t>METRO</t>
  </si>
  <si>
    <t>ELASTICO (1  ) CMS</t>
  </si>
  <si>
    <t>ELASTICO DECORATIVO</t>
  </si>
  <si>
    <t>TOTAL M.P</t>
  </si>
  <si>
    <t>MANO DE OBRA</t>
  </si>
  <si>
    <t>ESTAMPADO   HERNAN</t>
  </si>
  <si>
    <t>PRENDA</t>
  </si>
  <si>
    <t xml:space="preserve">APLIQUE Y PEGADA  </t>
  </si>
  <si>
    <t>UNIDAD</t>
  </si>
  <si>
    <t xml:space="preserve">APLIQUE  </t>
  </si>
  <si>
    <t xml:space="preserve">PEGADA  </t>
  </si>
  <si>
    <t>FUSION DE CUELLO ()</t>
  </si>
  <si>
    <t>BORDADO</t>
  </si>
  <si>
    <t>BOTONADA</t>
  </si>
  <si>
    <t>OJALADA</t>
  </si>
  <si>
    <t>RESORTADA</t>
  </si>
  <si>
    <t>TINTORERÍA</t>
  </si>
  <si>
    <t>CONFECCION BLUSA / CAMISETA</t>
  </si>
  <si>
    <t>CONFECCIÓN TOP / CROPTOP</t>
  </si>
  <si>
    <t>CONFECCIÓN BODY</t>
  </si>
  <si>
    <t>CONFECCIÓN JOGGER / BERMUDA</t>
  </si>
  <si>
    <t>CONFECCIÓN SHORT / FALDA</t>
  </si>
  <si>
    <t xml:space="preserve">EMPAQUE </t>
  </si>
  <si>
    <t>MANUALIDAD TERMINACION</t>
  </si>
  <si>
    <t>TERMINACION</t>
  </si>
  <si>
    <t>CORTE</t>
  </si>
  <si>
    <t>TOTAL M.O</t>
  </si>
  <si>
    <t>INSUMOS DIRECTOS</t>
  </si>
  <si>
    <t>MARQUILLA</t>
  </si>
  <si>
    <t xml:space="preserve">TALLA GENERICA </t>
  </si>
  <si>
    <t>MARQUILLA TECNICA</t>
  </si>
  <si>
    <t xml:space="preserve">ETIQUETA </t>
  </si>
  <si>
    <t>ADHESIVO PLOW</t>
  </si>
  <si>
    <t>CODIGO BARRAS/STIKERS</t>
  </si>
  <si>
    <t>BANDERA</t>
  </si>
  <si>
    <t xml:space="preserve">CINTA </t>
  </si>
  <si>
    <t>METROS</t>
  </si>
  <si>
    <t>BOLSA 20 * 30</t>
  </si>
  <si>
    <t>TOTAL INSUMOS DIRECTOS</t>
  </si>
  <si>
    <t>INSUMOS INDIRECTOS</t>
  </si>
  <si>
    <t>VALOR</t>
  </si>
  <si>
    <t>APLIQUE</t>
  </si>
  <si>
    <t>BROCHE</t>
  </si>
  <si>
    <t>HILO RESORTE</t>
  </si>
  <si>
    <t>MTS</t>
  </si>
  <si>
    <t xml:space="preserve">BOTON </t>
  </si>
  <si>
    <t>FRAMILÓN</t>
  </si>
  <si>
    <t>PLACA PLOW</t>
  </si>
  <si>
    <t>TOTAL INSUMOS INDIREC.</t>
  </si>
  <si>
    <t xml:space="preserve">PROVISIONES </t>
  </si>
  <si>
    <t>COSTO DE FABRICACION</t>
  </si>
  <si>
    <t>PROV. CARTERA</t>
  </si>
  <si>
    <t>SERVICIOS CONFECCIONISTAS</t>
  </si>
  <si>
    <t>TRANSPORTADORA</t>
  </si>
  <si>
    <t>PROV. DSCTO CCIAL</t>
  </si>
  <si>
    <t>TOTAL PROVISIONES</t>
  </si>
  <si>
    <t>TOTAL COSTO DE PRODUCCION</t>
  </si>
  <si>
    <t>COSTO REDONDEADO PARA CONTABILIZAR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</si>
</sst>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&quot;$&quot;\ * #,##0_-;\-&quot;$&quot;\ * #,##0_-;_-&quot;$&quot;\ * &quot;-&quot;??_-;_-@_-"/>
    <numFmt numFmtId="166" formatCode="_ * #,##0_ ;_ * \-#,##0_ ;_ * &quot;-&quot;??_ ;_ @_ "/>
    <numFmt numFmtId="167" formatCode="_-* #,##0.00\ _P_t_s_-;\-* #,##0.00\ _P_t_s_-;_-* &quot;-&quot;??\ _P_t_s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10"/>
      <color theme="1"/>
      <name val="Tahoma"/>
      <family val="2"/>
    </font>
    <font>
      <b/>
      <sz val="10"/>
      <name val="Arial"/>
      <family val="2"/>
    </font>
    <font>
      <b/>
      <sz val="9"/>
      <name val="Tahoma"/>
      <family val="2"/>
    </font>
    <font>
      <b/>
      <sz val="13"/>
      <name val="Tahoma"/>
      <family val="2"/>
    </font>
    <font>
      <b/>
      <sz val="11"/>
      <color theme="0"/>
      <name val="Calibri"/>
      <family val="2"/>
    </font>
    <font>
      <b/>
      <sz val="10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right"/>
    </xf>
    <xf numFmtId="0" fontId="6" fillId="0" borderId="4" xfId="0" applyFont="1" applyBorder="1"/>
    <xf numFmtId="0" fontId="3" fillId="0" borderId="1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right"/>
    </xf>
    <xf numFmtId="0" fontId="5" fillId="2" borderId="1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14" xfId="0" applyFont="1" applyBorder="1"/>
    <xf numFmtId="0" fontId="3" fillId="0" borderId="4" xfId="0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164" fontId="6" fillId="5" borderId="8" xfId="0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/>
    <xf numFmtId="0" fontId="8" fillId="2" borderId="1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165" fontId="6" fillId="0" borderId="0" xfId="1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9" fillId="0" borderId="1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65" fontId="3" fillId="0" borderId="0" xfId="1" applyNumberFormat="1" applyFont="1" applyBorder="1"/>
    <xf numFmtId="9" fontId="3" fillId="0" borderId="0" xfId="2" applyFont="1" applyBorder="1" applyAlignment="1">
      <alignment horizontal="center"/>
    </xf>
    <xf numFmtId="9" fontId="9" fillId="0" borderId="14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5" xfId="0" applyFont="1" applyBorder="1"/>
    <xf numFmtId="0" fontId="3" fillId="0" borderId="6" xfId="0" applyFont="1" applyBorder="1"/>
    <xf numFmtId="0" fontId="10" fillId="0" borderId="1" xfId="0" applyFont="1" applyBorder="1" applyAlignment="1">
      <alignment horizontal="left"/>
    </xf>
    <xf numFmtId="165" fontId="7" fillId="6" borderId="17" xfId="1" applyNumberFormat="1" applyFont="1" applyFill="1" applyBorder="1"/>
    <xf numFmtId="9" fontId="6" fillId="0" borderId="0" xfId="2" applyFont="1" applyBorder="1" applyAlignment="1">
      <alignment horizontal="center"/>
    </xf>
    <xf numFmtId="9" fontId="7" fillId="3" borderId="18" xfId="0" applyNumberFormat="1" applyFont="1" applyFill="1" applyBorder="1" applyAlignment="1">
      <alignment horizontal="center"/>
    </xf>
    <xf numFmtId="0" fontId="6" fillId="7" borderId="16" xfId="0" applyFont="1" applyFill="1" applyBorder="1" applyAlignment="1">
      <alignment vertical="center"/>
    </xf>
    <xf numFmtId="165" fontId="6" fillId="7" borderId="9" xfId="1" applyNumberFormat="1" applyFont="1" applyFill="1" applyBorder="1" applyAlignment="1">
      <alignment horizontal="right" vertical="center"/>
    </xf>
    <xf numFmtId="9" fontId="6" fillId="7" borderId="9" xfId="0" applyNumberFormat="1" applyFont="1" applyFill="1" applyBorder="1" applyAlignment="1">
      <alignment horizontal="center" vertical="center"/>
    </xf>
    <xf numFmtId="9" fontId="9" fillId="7" borderId="10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43" fontId="11" fillId="8" borderId="18" xfId="3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3" fillId="0" borderId="27" xfId="0" applyFont="1" applyBorder="1"/>
    <xf numFmtId="165" fontId="3" fillId="0" borderId="27" xfId="1" applyNumberFormat="1" applyFont="1" applyBorder="1" applyAlignment="1">
      <alignment horizontal="center"/>
    </xf>
    <xf numFmtId="167" fontId="3" fillId="0" borderId="27" xfId="4" applyNumberFormat="1" applyFont="1" applyBorder="1"/>
    <xf numFmtId="165" fontId="3" fillId="0" borderId="28" xfId="1" applyNumberFormat="1" applyFont="1" applyBorder="1" applyAlignment="1">
      <alignment horizontal="center"/>
    </xf>
    <xf numFmtId="0" fontId="3" fillId="0" borderId="21" xfId="0" applyFont="1" applyBorder="1"/>
    <xf numFmtId="0" fontId="3" fillId="0" borderId="29" xfId="0" applyFont="1" applyBorder="1"/>
    <xf numFmtId="165" fontId="3" fillId="0" borderId="29" xfId="1" applyNumberFormat="1" applyFont="1" applyBorder="1"/>
    <xf numFmtId="167" fontId="3" fillId="0" borderId="29" xfId="4" applyNumberFormat="1" applyFont="1" applyBorder="1"/>
    <xf numFmtId="165" fontId="3" fillId="0" borderId="22" xfId="1" applyNumberFormat="1" applyFont="1" applyBorder="1" applyAlignment="1">
      <alignment horizontal="center"/>
    </xf>
    <xf numFmtId="167" fontId="3" fillId="0" borderId="29" xfId="4" applyNumberFormat="1" applyFont="1" applyBorder="1" applyAlignment="1">
      <alignment horizontal="center" vertical="center"/>
    </xf>
    <xf numFmtId="165" fontId="3" fillId="0" borderId="22" xfId="1" applyNumberFormat="1" applyFont="1" applyBorder="1" applyAlignment="1">
      <alignment horizontal="center" vertical="center"/>
    </xf>
    <xf numFmtId="0" fontId="6" fillId="9" borderId="23" xfId="0" applyFont="1" applyFill="1" applyBorder="1" applyAlignment="1">
      <alignment horizontal="right"/>
    </xf>
    <xf numFmtId="0" fontId="6" fillId="9" borderId="30" xfId="0" applyFont="1" applyFill="1" applyBorder="1"/>
    <xf numFmtId="43" fontId="6" fillId="9" borderId="30" xfId="4" applyNumberFormat="1" applyFont="1" applyFill="1" applyBorder="1"/>
    <xf numFmtId="165" fontId="6" fillId="9" borderId="24" xfId="1" applyNumberFormat="1" applyFont="1" applyFill="1" applyBorder="1"/>
    <xf numFmtId="0" fontId="3" fillId="0" borderId="21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165" fontId="3" fillId="0" borderId="29" xfId="1" applyNumberFormat="1" applyFont="1" applyBorder="1" applyAlignment="1">
      <alignment horizontal="center" vertical="center"/>
    </xf>
    <xf numFmtId="166" fontId="3" fillId="0" borderId="22" xfId="4" applyNumberFormat="1" applyFont="1" applyBorder="1" applyAlignment="1">
      <alignment vertical="center"/>
    </xf>
    <xf numFmtId="0" fontId="6" fillId="9" borderId="23" xfId="0" applyFont="1" applyFill="1" applyBorder="1" applyAlignment="1">
      <alignment horizontal="right" vertical="center"/>
    </xf>
    <xf numFmtId="0" fontId="6" fillId="9" borderId="30" xfId="0" applyFont="1" applyFill="1" applyBorder="1" applyAlignment="1">
      <alignment vertical="center"/>
    </xf>
    <xf numFmtId="43" fontId="6" fillId="9" borderId="30" xfId="4" applyNumberFormat="1" applyFont="1" applyFill="1" applyBorder="1" applyAlignment="1">
      <alignment vertical="center"/>
    </xf>
    <xf numFmtId="165" fontId="6" fillId="9" borderId="24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165" fontId="3" fillId="0" borderId="27" xfId="1" applyNumberFormat="1" applyFont="1" applyBorder="1" applyAlignment="1">
      <alignment horizontal="center" vertical="center"/>
    </xf>
    <xf numFmtId="0" fontId="6" fillId="9" borderId="23" xfId="0" applyFont="1" applyFill="1" applyBorder="1" applyAlignment="1">
      <alignment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43" fontId="3" fillId="0" borderId="31" xfId="4" applyNumberFormat="1" applyFont="1" applyBorder="1" applyAlignment="1">
      <alignment horizontal="center" vertical="center"/>
    </xf>
    <xf numFmtId="165" fontId="3" fillId="0" borderId="20" xfId="1" applyNumberFormat="1" applyFont="1" applyBorder="1" applyAlignment="1">
      <alignment horizontal="center" vertical="center"/>
    </xf>
    <xf numFmtId="43" fontId="3" fillId="0" borderId="29" xfId="4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165" fontId="6" fillId="4" borderId="28" xfId="1" applyNumberFormat="1" applyFont="1" applyFill="1" applyBorder="1" applyAlignment="1">
      <alignment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165" fontId="13" fillId="10" borderId="6" xfId="1" applyNumberFormat="1" applyFont="1" applyFill="1" applyBorder="1" applyAlignment="1">
      <alignment vertical="center"/>
    </xf>
  </cellXfs>
  <cellStyles count="5">
    <cellStyle name="Millares 2 2" xfId="3" xr:uid="{D8395F89-F59B-4431-88C4-960C90B02195}"/>
    <cellStyle name="Millares 2 30" xfId="4" xr:uid="{EEFBBC7C-FF21-4CC8-9867-22D2C14B3337}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0</xdr:row>
      <xdr:rowOff>171450</xdr:rowOff>
    </xdr:from>
    <xdr:to>
      <xdr:col>8</xdr:col>
      <xdr:colOff>733424</xdr:colOff>
      <xdr:row>3</xdr:row>
      <xdr:rowOff>19050</xdr:rowOff>
    </xdr:to>
    <xdr:sp macro="[1]!FotoPrincipal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3BC74AE-731B-40FA-8B66-473A7D9A65C8}"/>
            </a:ext>
          </a:extLst>
        </xdr:cNvPr>
        <xdr:cNvSpPr/>
      </xdr:nvSpPr>
      <xdr:spPr>
        <a:xfrm>
          <a:off x="5743574" y="171450"/>
          <a:ext cx="1933575" cy="5334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ysClr val="windowText" lastClr="000000"/>
              </a:solidFill>
            </a:rPr>
            <a:t>VER FOTO PRINCIPAL</a:t>
          </a:r>
          <a:endParaRPr lang="es-CO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95249</xdr:colOff>
      <xdr:row>0</xdr:row>
      <xdr:rowOff>171450</xdr:rowOff>
    </xdr:from>
    <xdr:to>
      <xdr:col>10</xdr:col>
      <xdr:colOff>1009649</xdr:colOff>
      <xdr:row>3</xdr:row>
      <xdr:rowOff>19050</xdr:rowOff>
    </xdr:to>
    <xdr:sp macro="[1]!FotoSecundaria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762CE201-FD84-479D-A9F8-37DC34CD4CEA}"/>
            </a:ext>
          </a:extLst>
        </xdr:cNvPr>
        <xdr:cNvSpPr/>
      </xdr:nvSpPr>
      <xdr:spPr>
        <a:xfrm>
          <a:off x="7867649" y="171450"/>
          <a:ext cx="1990725" cy="5334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ysClr val="windowText" lastClr="000000"/>
              </a:solidFill>
            </a:rPr>
            <a:t>VER FOTO SECUNDARIA</a:t>
          </a:r>
          <a:endParaRPr lang="es-CO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561975</xdr:colOff>
      <xdr:row>15</xdr:row>
      <xdr:rowOff>114300</xdr:rowOff>
    </xdr:from>
    <xdr:to>
      <xdr:col>10</xdr:col>
      <xdr:colOff>1066800</xdr:colOff>
      <xdr:row>16</xdr:row>
      <xdr:rowOff>200025</xdr:rowOff>
    </xdr:to>
    <xdr:sp macro="[1]!Primer_Corte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6D981C6-602E-4515-8A77-46139FA425D2}"/>
            </a:ext>
          </a:extLst>
        </xdr:cNvPr>
        <xdr:cNvSpPr/>
      </xdr:nvSpPr>
      <xdr:spPr>
        <a:xfrm>
          <a:off x="8334375" y="3143250"/>
          <a:ext cx="1581150" cy="2857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</a:rPr>
            <a:t>ASENTAR CORTE</a:t>
          </a:r>
          <a:r>
            <a:rPr lang="es-CO" sz="1200" b="1" baseline="0">
              <a:solidFill>
                <a:sysClr val="windowText" lastClr="000000"/>
              </a:solidFill>
            </a:rPr>
            <a:t> 1</a:t>
          </a:r>
          <a:endParaRPr lang="es-CO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561975</xdr:colOff>
      <xdr:row>17</xdr:row>
      <xdr:rowOff>66675</xdr:rowOff>
    </xdr:from>
    <xdr:to>
      <xdr:col>10</xdr:col>
      <xdr:colOff>1066800</xdr:colOff>
      <xdr:row>18</xdr:row>
      <xdr:rowOff>152400</xdr:rowOff>
    </xdr:to>
    <xdr:sp macro="[1]!Segundo_Corte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D6A752F0-B0C3-4267-81D0-95879B23AB8E}"/>
            </a:ext>
          </a:extLst>
        </xdr:cNvPr>
        <xdr:cNvSpPr/>
      </xdr:nvSpPr>
      <xdr:spPr>
        <a:xfrm>
          <a:off x="8334375" y="3514725"/>
          <a:ext cx="1581150" cy="2857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</a:rPr>
            <a:t>ASENTAR</a:t>
          </a:r>
          <a:r>
            <a:rPr lang="es-CO" sz="1200" b="1" baseline="0">
              <a:solidFill>
                <a:sysClr val="windowText" lastClr="000000"/>
              </a:solidFill>
            </a:rPr>
            <a:t> C</a:t>
          </a:r>
          <a:r>
            <a:rPr lang="es-CO" sz="1200" b="1">
              <a:solidFill>
                <a:sysClr val="windowText" lastClr="000000"/>
              </a:solidFill>
            </a:rPr>
            <a:t>ORTE</a:t>
          </a:r>
          <a:r>
            <a:rPr lang="es-CO" sz="1200" b="1" baseline="0">
              <a:solidFill>
                <a:sysClr val="windowText" lastClr="000000"/>
              </a:solidFill>
            </a:rPr>
            <a:t> 2</a:t>
          </a:r>
          <a:endParaRPr lang="es-CO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561975</xdr:colOff>
      <xdr:row>19</xdr:row>
      <xdr:rowOff>28575</xdr:rowOff>
    </xdr:from>
    <xdr:to>
      <xdr:col>10</xdr:col>
      <xdr:colOff>1066800</xdr:colOff>
      <xdr:row>20</xdr:row>
      <xdr:rowOff>95250</xdr:rowOff>
    </xdr:to>
    <xdr:sp macro="[1]!Tercer_Corte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D962387-F8F9-49F1-8A52-646075E15DD7}"/>
            </a:ext>
          </a:extLst>
        </xdr:cNvPr>
        <xdr:cNvSpPr/>
      </xdr:nvSpPr>
      <xdr:spPr>
        <a:xfrm>
          <a:off x="8334375" y="3895725"/>
          <a:ext cx="1581150" cy="285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solidFill>
                <a:sysClr val="windowText" lastClr="000000"/>
              </a:solidFill>
            </a:rPr>
            <a:t>ASENTAR CORTE</a:t>
          </a:r>
          <a:r>
            <a:rPr lang="es-CO" sz="1200" b="1" baseline="0">
              <a:solidFill>
                <a:sysClr val="windowText" lastClr="000000"/>
              </a:solidFill>
            </a:rPr>
            <a:t> 3</a:t>
          </a:r>
          <a:endParaRPr lang="es-CO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isf\OneDrive\Desktop\FICHAS%20DE%20COSTOS%202026.xlsm" TargetMode="External"/><Relationship Id="rId1" Type="http://schemas.openxmlformats.org/officeDocument/2006/relationships/externalLinkPath" Target="FICHAS%20DE%20COSTO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ISETA HOMBRE"/>
      <sheetName val="5000"/>
      <sheetName val="5001"/>
      <sheetName val="12000"/>
      <sheetName val="12129"/>
      <sheetName val="12366"/>
      <sheetName val="12395"/>
      <sheetName val="12431"/>
      <sheetName val="12442"/>
      <sheetName val="12463"/>
      <sheetName val="12473"/>
      <sheetName val="12574"/>
      <sheetName val="12581"/>
      <sheetName val="12617"/>
      <sheetName val="12640"/>
      <sheetName val="12644"/>
      <sheetName val="12665"/>
      <sheetName val="12679"/>
      <sheetName val="12680"/>
      <sheetName val="12692"/>
      <sheetName val="12693"/>
      <sheetName val="12694"/>
      <sheetName val="12698"/>
      <sheetName val="12699"/>
      <sheetName val="12704"/>
      <sheetName val="12708"/>
      <sheetName val="12737"/>
      <sheetName val="12744"/>
      <sheetName val="12747"/>
      <sheetName val="12754"/>
      <sheetName val="12771"/>
      <sheetName val="12777"/>
      <sheetName val="12782"/>
      <sheetName val="12783"/>
      <sheetName val="12805"/>
      <sheetName val="12809"/>
      <sheetName val="12817"/>
      <sheetName val="12818"/>
      <sheetName val="12820"/>
      <sheetName val="12821"/>
      <sheetName val="12823"/>
      <sheetName val="12825"/>
      <sheetName val="12828"/>
      <sheetName val="12831"/>
      <sheetName val="12834"/>
      <sheetName val="12835"/>
      <sheetName val="12836"/>
      <sheetName val="12837"/>
      <sheetName val="12840"/>
      <sheetName val="12841"/>
      <sheetName val="12855"/>
      <sheetName val="12860"/>
      <sheetName val="12861"/>
      <sheetName val="12862"/>
      <sheetName val="12864"/>
      <sheetName val="12865"/>
      <sheetName val="12866"/>
      <sheetName val="12868"/>
      <sheetName val="12869"/>
      <sheetName val="12870"/>
      <sheetName val="12871"/>
      <sheetName val="12872"/>
      <sheetName val="12873"/>
      <sheetName val="12875"/>
      <sheetName val="12876"/>
      <sheetName val="12877"/>
      <sheetName val="12878"/>
      <sheetName val="12879"/>
      <sheetName val="12880"/>
      <sheetName val="12881"/>
      <sheetName val="12882"/>
      <sheetName val="12883"/>
      <sheetName val="12884"/>
      <sheetName val="12885"/>
      <sheetName val="12888"/>
      <sheetName val="12889"/>
      <sheetName val="12890"/>
      <sheetName val="12891"/>
      <sheetName val="12892"/>
      <sheetName val="12893"/>
      <sheetName val="12894"/>
      <sheetName val="12895"/>
      <sheetName val="12896"/>
      <sheetName val="12897"/>
      <sheetName val="12898"/>
      <sheetName val="12901"/>
      <sheetName val="12905"/>
      <sheetName val="12906"/>
      <sheetName val="12907"/>
      <sheetName val="12908"/>
      <sheetName val="12909"/>
      <sheetName val="12910"/>
      <sheetName val="12911"/>
      <sheetName val="12912"/>
      <sheetName val="12913"/>
      <sheetName val="12914"/>
      <sheetName val="12915"/>
      <sheetName val="12916"/>
      <sheetName val="12917"/>
      <sheetName val="12918"/>
      <sheetName val="12919"/>
      <sheetName val="12920"/>
      <sheetName val="12921"/>
      <sheetName val="12922"/>
      <sheetName val="12923"/>
      <sheetName val="12924"/>
      <sheetName val="12926"/>
      <sheetName val="12931"/>
      <sheetName val="12933"/>
      <sheetName val="12934"/>
      <sheetName val="12935"/>
      <sheetName val="12936"/>
      <sheetName val="12937"/>
      <sheetName val="12939"/>
      <sheetName val="12940"/>
      <sheetName val="12941"/>
      <sheetName val="12942"/>
      <sheetName val="12943"/>
      <sheetName val="12945"/>
      <sheetName val="12946"/>
      <sheetName val="12950"/>
      <sheetName val="12951"/>
      <sheetName val="12952"/>
      <sheetName val="12953"/>
      <sheetName val="12955"/>
      <sheetName val="12956"/>
      <sheetName val="12957"/>
      <sheetName val="12958"/>
      <sheetName val="12959"/>
      <sheetName val="12960"/>
      <sheetName val="12961"/>
      <sheetName val="12962"/>
      <sheetName val="12963"/>
      <sheetName val="12964"/>
      <sheetName val="12965"/>
      <sheetName val="12966"/>
      <sheetName val="12967"/>
      <sheetName val="12968"/>
      <sheetName val="12969"/>
      <sheetName val="12970"/>
      <sheetName val="12971"/>
      <sheetName val="12972"/>
      <sheetName val="12973"/>
      <sheetName val="12974"/>
      <sheetName val="12975"/>
      <sheetName val="12976"/>
      <sheetName val="12978"/>
      <sheetName val="12979"/>
      <sheetName val="12980"/>
      <sheetName val="12981"/>
      <sheetName val="12983"/>
      <sheetName val="12984"/>
      <sheetName val="12986"/>
      <sheetName val="12987"/>
      <sheetName val="12990"/>
      <sheetName val="12991"/>
      <sheetName val="12993"/>
      <sheetName val="12996"/>
      <sheetName val="12999"/>
      <sheetName val="13000"/>
      <sheetName val="13001"/>
      <sheetName val="13002"/>
      <sheetName val="13003"/>
      <sheetName val="13004"/>
      <sheetName val="13005"/>
      <sheetName val="13006"/>
      <sheetName val="13007"/>
      <sheetName val="13008"/>
      <sheetName val="13009"/>
      <sheetName val="13010"/>
      <sheetName val="13011"/>
      <sheetName val="13012"/>
      <sheetName val="13013"/>
      <sheetName val="13014"/>
      <sheetName val="13015"/>
      <sheetName val="13016"/>
      <sheetName val="13017"/>
      <sheetName val="13019"/>
      <sheetName val="13023"/>
      <sheetName val="13027"/>
      <sheetName val="13028"/>
      <sheetName val="13029"/>
      <sheetName val="13032"/>
      <sheetName val="13033"/>
      <sheetName val="13035"/>
      <sheetName val="13036"/>
      <sheetName val="13038"/>
      <sheetName val="13039"/>
      <sheetName val="13040"/>
      <sheetName val="13041"/>
      <sheetName val="13042"/>
      <sheetName val="13043"/>
      <sheetName val="13044"/>
      <sheetName val="13045"/>
      <sheetName val="13046"/>
      <sheetName val="13047"/>
      <sheetName val="13048"/>
      <sheetName val="13050"/>
      <sheetName val="13052"/>
      <sheetName val="13055"/>
      <sheetName val="13057"/>
      <sheetName val="13058"/>
      <sheetName val="13059"/>
      <sheetName val="13063"/>
      <sheetName val="13064"/>
      <sheetName val="13065"/>
      <sheetName val="13066"/>
      <sheetName val="13067"/>
      <sheetName val="13068"/>
      <sheetName val="13069"/>
      <sheetName val="13070"/>
      <sheetName val="13071"/>
      <sheetName val="13072"/>
      <sheetName val="13073"/>
      <sheetName val="13074"/>
      <sheetName val="13075"/>
      <sheetName val="13076"/>
      <sheetName val="13077"/>
      <sheetName val="13078"/>
      <sheetName val="13079"/>
      <sheetName val="13081"/>
      <sheetName val="13082"/>
      <sheetName val="13103"/>
      <sheetName val="13104"/>
      <sheetName val="13105"/>
      <sheetName val="13106"/>
      <sheetName val="13107"/>
      <sheetName val="13083"/>
      <sheetName val="13084"/>
      <sheetName val="13085"/>
      <sheetName val="13086"/>
      <sheetName val="13087"/>
      <sheetName val="13088"/>
      <sheetName val="13089"/>
      <sheetName val="13090"/>
      <sheetName val="13091"/>
      <sheetName val="13092"/>
      <sheetName val="13093"/>
      <sheetName val="13094"/>
      <sheetName val="13095"/>
      <sheetName val="13096"/>
      <sheetName val="13097"/>
      <sheetName val="13098"/>
      <sheetName val="13099"/>
      <sheetName val="13100"/>
      <sheetName val="13101"/>
      <sheetName val="13102"/>
      <sheetName val="13108"/>
      <sheetName val="13109"/>
      <sheetName val="13110"/>
      <sheetName val="13111"/>
      <sheetName val="13112"/>
      <sheetName val="13113"/>
      <sheetName val="13114"/>
      <sheetName val="13115"/>
      <sheetName val="13117"/>
      <sheetName val="13118"/>
      <sheetName val="13119"/>
      <sheetName val="13120"/>
      <sheetName val="13121"/>
      <sheetName val="13122"/>
      <sheetName val="13123"/>
      <sheetName val="13124"/>
      <sheetName val="13125"/>
      <sheetName val="13127"/>
      <sheetName val="13126"/>
      <sheetName val="13128"/>
      <sheetName val="13254"/>
      <sheetName val="13129"/>
      <sheetName val="13131"/>
      <sheetName val="13132"/>
      <sheetName val="12565"/>
      <sheetName val="12460"/>
      <sheetName val="12576"/>
      <sheetName val="12416"/>
      <sheetName val="12402"/>
      <sheetName val="12600"/>
      <sheetName val="12709"/>
      <sheetName val="12623"/>
      <sheetName val="12579"/>
      <sheetName val="12652"/>
      <sheetName val="12712"/>
      <sheetName val="12671"/>
      <sheetName val="12609"/>
      <sheetName val="FORMATO"/>
    </sheetNames>
    <definedNames>
      <definedName name="FotoPrincipal"/>
      <definedName name="FotoSecundaria"/>
      <definedName name="Primer_Corte"/>
      <definedName name="Segundo_Corte"/>
      <definedName name="Tercer_Cor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65C2-0498-45D7-8562-C24312A686C7}">
  <sheetPr codeName="Hoja239">
    <tabColor rgb="FFCC99FF"/>
  </sheetPr>
  <dimension ref="B1:L92"/>
  <sheetViews>
    <sheetView tabSelected="1" workbookViewId="0">
      <selection activeCell="I13" sqref="I13"/>
    </sheetView>
  </sheetViews>
  <sheetFormatPr baseColWidth="10" defaultColWidth="12.42578125" defaultRowHeight="15" x14ac:dyDescent="0.25"/>
  <cols>
    <col min="1" max="1" width="2.28515625" customWidth="1"/>
    <col min="2" max="2" width="28.7109375" style="1" customWidth="1"/>
    <col min="3" max="3" width="13.7109375" style="1" customWidth="1"/>
    <col min="4" max="4" width="11" style="1" customWidth="1"/>
    <col min="5" max="5" width="13.7109375" style="1" customWidth="1"/>
    <col min="6" max="6" width="13" style="1" customWidth="1"/>
    <col min="7" max="7" width="2.7109375" customWidth="1"/>
    <col min="8" max="8" width="19" style="1" customWidth="1"/>
    <col min="9" max="9" width="12.42578125" style="1"/>
    <col min="10" max="10" width="16.140625" style="1" customWidth="1"/>
    <col min="11" max="11" width="16.28515625" style="1" customWidth="1"/>
    <col min="12" max="12" width="2.7109375" customWidth="1"/>
  </cols>
  <sheetData>
    <row r="1" spans="2:11" ht="15.75" thickBot="1" x14ac:dyDescent="0.3"/>
    <row r="2" spans="2:11" ht="19.5" customHeight="1" x14ac:dyDescent="0.25">
      <c r="B2" s="2" t="s">
        <v>0</v>
      </c>
      <c r="C2" s="3"/>
      <c r="D2" s="3"/>
      <c r="E2" s="3"/>
      <c r="F2" s="4"/>
    </row>
    <row r="3" spans="2:11" ht="18.75" customHeight="1" thickBot="1" x14ac:dyDescent="0.3">
      <c r="B3" s="5" t="s">
        <v>1</v>
      </c>
      <c r="C3" s="6"/>
      <c r="D3" s="7"/>
      <c r="E3" s="7"/>
      <c r="F3" s="8"/>
    </row>
    <row r="4" spans="2:11" ht="15.75" thickBot="1" x14ac:dyDescent="0.3">
      <c r="B4" s="9" t="s">
        <v>2</v>
      </c>
      <c r="C4" s="10">
        <v>13098</v>
      </c>
      <c r="D4" s="11" t="s">
        <v>3</v>
      </c>
      <c r="E4" s="11"/>
      <c r="F4" s="12"/>
    </row>
    <row r="5" spans="2:11" ht="15" customHeight="1" x14ac:dyDescent="0.25">
      <c r="B5" s="13" t="s">
        <v>4</v>
      </c>
      <c r="C5" s="14" t="s">
        <v>5</v>
      </c>
      <c r="D5" s="15" t="s">
        <v>6</v>
      </c>
      <c r="E5" s="16" t="s">
        <v>7</v>
      </c>
      <c r="F5" s="17">
        <v>0.28999999999999998</v>
      </c>
      <c r="H5" s="18" t="s">
        <v>8</v>
      </c>
      <c r="I5" s="19"/>
      <c r="J5" s="19"/>
      <c r="K5" s="20"/>
    </row>
    <row r="6" spans="2:11" ht="15.75" thickBot="1" x14ac:dyDescent="0.3">
      <c r="B6" s="13" t="s">
        <v>9</v>
      </c>
      <c r="C6" s="14"/>
      <c r="D6" s="21" t="s">
        <v>10</v>
      </c>
      <c r="E6" s="16"/>
      <c r="F6" s="17"/>
      <c r="H6" s="22"/>
      <c r="I6" s="7"/>
      <c r="J6" s="7"/>
      <c r="K6" s="8"/>
    </row>
    <row r="7" spans="2:11" x14ac:dyDescent="0.25">
      <c r="B7" s="13" t="s">
        <v>11</v>
      </c>
      <c r="C7" s="14"/>
      <c r="D7" s="15" t="s">
        <v>12</v>
      </c>
      <c r="E7" s="16"/>
      <c r="F7" s="17"/>
      <c r="H7" s="23" t="s">
        <v>13</v>
      </c>
      <c r="K7" s="24"/>
    </row>
    <row r="8" spans="2:11" x14ac:dyDescent="0.25">
      <c r="B8" s="13" t="s">
        <v>14</v>
      </c>
      <c r="C8" s="14" t="s">
        <v>15</v>
      </c>
      <c r="D8" s="15" t="s">
        <v>16</v>
      </c>
      <c r="E8" s="16"/>
      <c r="F8" s="17"/>
      <c r="H8" s="23" t="s">
        <v>17</v>
      </c>
      <c r="K8" s="24"/>
    </row>
    <row r="9" spans="2:11" x14ac:dyDescent="0.25">
      <c r="B9" s="13" t="s">
        <v>18</v>
      </c>
      <c r="C9" s="14" t="str">
        <f>E5</f>
        <v>BURDA FRIA</v>
      </c>
      <c r="D9" s="25" t="s">
        <v>19</v>
      </c>
      <c r="E9" s="16" t="s">
        <v>7</v>
      </c>
      <c r="F9" s="17">
        <v>5.2999999999999999E-2</v>
      </c>
      <c r="H9" s="23" t="s">
        <v>20</v>
      </c>
      <c r="K9" s="24"/>
    </row>
    <row r="10" spans="2:11" ht="15.75" thickBot="1" x14ac:dyDescent="0.3">
      <c r="B10" s="13" t="s">
        <v>21</v>
      </c>
      <c r="C10" s="26" t="s">
        <v>22</v>
      </c>
      <c r="D10" s="25" t="s">
        <v>23</v>
      </c>
      <c r="E10" s="16"/>
      <c r="F10" s="17"/>
      <c r="H10" s="23"/>
      <c r="K10" s="24"/>
    </row>
    <row r="11" spans="2:11" ht="15.75" thickBot="1" x14ac:dyDescent="0.3">
      <c r="B11" s="9" t="s">
        <v>24</v>
      </c>
      <c r="C11" s="27" t="s">
        <v>25</v>
      </c>
      <c r="D11" s="28" t="s">
        <v>26</v>
      </c>
      <c r="E11" s="29" t="s">
        <v>26</v>
      </c>
      <c r="F11" s="30">
        <f>+F5+F6+F8+F7+F9+F10</f>
        <v>0.34299999999999997</v>
      </c>
      <c r="H11" s="23"/>
      <c r="K11" s="24"/>
    </row>
    <row r="12" spans="2:11" ht="15.75" customHeight="1" thickBot="1" x14ac:dyDescent="0.3">
      <c r="B12"/>
      <c r="C12" s="31"/>
      <c r="E12" s="32"/>
      <c r="H12" s="23"/>
      <c r="K12" s="24"/>
    </row>
    <row r="13" spans="2:11" ht="15" customHeight="1" thickBot="1" x14ac:dyDescent="0.3">
      <c r="B13" s="33" t="s">
        <v>27</v>
      </c>
      <c r="C13" s="34"/>
      <c r="D13" s="34"/>
      <c r="E13" s="35"/>
      <c r="F13"/>
      <c r="H13" s="23" t="s">
        <v>28</v>
      </c>
      <c r="K13" s="24"/>
    </row>
    <row r="14" spans="2:11" ht="15" customHeight="1" x14ac:dyDescent="0.25">
      <c r="B14" s="36" t="s">
        <v>29</v>
      </c>
      <c r="C14" s="37">
        <f>+F87</f>
        <v>14458.466675</v>
      </c>
      <c r="D14" s="38"/>
      <c r="E14" s="39" t="s">
        <v>30</v>
      </c>
      <c r="F14"/>
      <c r="H14" s="23"/>
      <c r="K14" s="24"/>
    </row>
    <row r="15" spans="2:11" ht="15.75" thickBot="1" x14ac:dyDescent="0.3">
      <c r="B15" s="40" t="s">
        <v>31</v>
      </c>
      <c r="C15" s="41">
        <f>ROUND((F87/0.7),-2)</f>
        <v>20700</v>
      </c>
      <c r="D15" s="42">
        <f>IFERROR((+C14/C15),"")</f>
        <v>0.69847665096618361</v>
      </c>
      <c r="E15" s="43">
        <f>IFERROR((100%-D15),"")</f>
        <v>0.30152334903381639</v>
      </c>
      <c r="F15"/>
      <c r="H15" s="44"/>
      <c r="I15" s="45"/>
      <c r="J15" s="45"/>
      <c r="K15" s="46"/>
    </row>
    <row r="16" spans="2:11" ht="15.75" thickBot="1" x14ac:dyDescent="0.3">
      <c r="B16" s="47" t="s">
        <v>32</v>
      </c>
      <c r="C16" s="48">
        <v>22900</v>
      </c>
      <c r="D16" s="49">
        <f>IFERROR((+C14/C16),"")</f>
        <v>0.63137409061135374</v>
      </c>
      <c r="E16" s="50">
        <f>IFERROR((100%-D16),"")</f>
        <v>0.36862590938864626</v>
      </c>
      <c r="F16"/>
    </row>
    <row r="17" spans="2:11" ht="17.25" customHeight="1" thickBot="1" x14ac:dyDescent="0.3">
      <c r="B17" s="51" t="s">
        <v>33</v>
      </c>
      <c r="C17" s="52">
        <f>+C16+500</f>
        <v>23400</v>
      </c>
      <c r="D17" s="53">
        <f>+F87/C17</f>
        <v>0.61788319123931623</v>
      </c>
      <c r="E17" s="54">
        <f>100%-D17</f>
        <v>0.38211680876068377</v>
      </c>
      <c r="F17"/>
      <c r="H17" s="55" t="s">
        <v>34</v>
      </c>
      <c r="I17" s="56">
        <f>COUNTA(I18:I20)</f>
        <v>1</v>
      </c>
    </row>
    <row r="18" spans="2:11" ht="15.75" customHeight="1" thickBot="1" x14ac:dyDescent="0.3">
      <c r="B18"/>
      <c r="C18" s="31"/>
      <c r="E18" s="32"/>
      <c r="F18"/>
      <c r="H18" s="57" t="s">
        <v>35</v>
      </c>
      <c r="I18" s="58" t="s">
        <v>36</v>
      </c>
    </row>
    <row r="19" spans="2:11" s="62" customFormat="1" ht="17.25" customHeight="1" thickBot="1" x14ac:dyDescent="0.3">
      <c r="B19" s="59" t="s">
        <v>37</v>
      </c>
      <c r="C19" s="60"/>
      <c r="D19" s="60"/>
      <c r="E19" s="60"/>
      <c r="F19" s="61"/>
      <c r="H19" s="63" t="s">
        <v>35</v>
      </c>
      <c r="I19" s="64"/>
      <c r="J19" s="1"/>
      <c r="K19" s="1"/>
    </row>
    <row r="20" spans="2:11" ht="17.25" customHeight="1" thickBot="1" x14ac:dyDescent="0.3">
      <c r="B20"/>
      <c r="C20" s="31"/>
      <c r="E20" s="32"/>
      <c r="H20" s="65" t="s">
        <v>35</v>
      </c>
      <c r="I20" s="66"/>
    </row>
    <row r="21" spans="2:11" ht="15.75" customHeight="1" x14ac:dyDescent="0.25">
      <c r="B21" s="67" t="s">
        <v>38</v>
      </c>
      <c r="C21" s="68" t="s">
        <v>39</v>
      </c>
      <c r="D21" s="68" t="s">
        <v>40</v>
      </c>
      <c r="E21" s="68" t="s">
        <v>41</v>
      </c>
      <c r="F21" s="68" t="s">
        <v>42</v>
      </c>
      <c r="H21" s="69"/>
      <c r="I21" s="69"/>
    </row>
    <row r="22" spans="2:11" ht="15.75" thickBot="1" x14ac:dyDescent="0.3">
      <c r="B22" s="70"/>
      <c r="C22" s="71"/>
      <c r="D22" s="71"/>
      <c r="E22" s="71"/>
      <c r="F22" s="71"/>
      <c r="H22"/>
      <c r="I22"/>
    </row>
    <row r="23" spans="2:11" x14ac:dyDescent="0.25">
      <c r="B23" s="72" t="str">
        <f>IF(E5="","TELA 1",E5)</f>
        <v>BURDA FRIA</v>
      </c>
      <c r="C23" s="73" t="s">
        <v>43</v>
      </c>
      <c r="D23" s="74">
        <v>16500</v>
      </c>
      <c r="E23" s="75">
        <f>F5</f>
        <v>0.28999999999999998</v>
      </c>
      <c r="F23" s="76">
        <f t="shared" ref="F23:F28" si="0">E23*D23</f>
        <v>4785</v>
      </c>
    </row>
    <row r="24" spans="2:11" x14ac:dyDescent="0.25">
      <c r="B24" s="77" t="str">
        <f>IF(E6="","TELA 2",E6)</f>
        <v>TELA 2</v>
      </c>
      <c r="C24" s="78" t="s">
        <v>43</v>
      </c>
      <c r="D24" s="79"/>
      <c r="E24" s="80">
        <f>F6</f>
        <v>0</v>
      </c>
      <c r="F24" s="81">
        <f t="shared" si="0"/>
        <v>0</v>
      </c>
    </row>
    <row r="25" spans="2:11" x14ac:dyDescent="0.25">
      <c r="B25" s="77" t="str">
        <f>IF(E7="","TELA 3",E7)</f>
        <v>TELA 3</v>
      </c>
      <c r="C25" s="78" t="s">
        <v>43</v>
      </c>
      <c r="D25" s="79"/>
      <c r="E25" s="80">
        <f>F7</f>
        <v>0</v>
      </c>
      <c r="F25" s="81">
        <f t="shared" si="0"/>
        <v>0</v>
      </c>
    </row>
    <row r="26" spans="2:11" x14ac:dyDescent="0.25">
      <c r="B26" s="77" t="str">
        <f>IF(E8="","TELA 4",E8)</f>
        <v>TELA 4</v>
      </c>
      <c r="C26" s="78" t="s">
        <v>43</v>
      </c>
      <c r="D26" s="79"/>
      <c r="E26" s="80">
        <f>F8</f>
        <v>0</v>
      </c>
      <c r="F26" s="81">
        <f t="shared" si="0"/>
        <v>0</v>
      </c>
    </row>
    <row r="27" spans="2:11" x14ac:dyDescent="0.25">
      <c r="B27" s="77" t="str">
        <f>IF(E9="","SESGO 1","SESGO 1 " &amp; E9)</f>
        <v>SESGO 1 BURDA FRIA</v>
      </c>
      <c r="C27" s="78" t="s">
        <v>43</v>
      </c>
      <c r="D27" s="79">
        <v>16500</v>
      </c>
      <c r="E27" s="80">
        <f>F9</f>
        <v>5.2999999999999999E-2</v>
      </c>
      <c r="F27" s="81">
        <f t="shared" si="0"/>
        <v>874.5</v>
      </c>
    </row>
    <row r="28" spans="2:11" x14ac:dyDescent="0.25">
      <c r="B28" s="77" t="str">
        <f>IF(E10="","SESGO 2","SESGO 2 " &amp; E10)</f>
        <v>SESGO 2</v>
      </c>
      <c r="C28" s="78" t="s">
        <v>43</v>
      </c>
      <c r="D28" s="79"/>
      <c r="E28" s="80">
        <f t="shared" ref="E28" si="1">F10</f>
        <v>0</v>
      </c>
      <c r="F28" s="81">
        <f t="shared" si="0"/>
        <v>0</v>
      </c>
    </row>
    <row r="29" spans="2:11" ht="15" customHeight="1" x14ac:dyDescent="0.25">
      <c r="B29" s="77" t="s">
        <v>44</v>
      </c>
      <c r="C29" s="78" t="s">
        <v>43</v>
      </c>
      <c r="D29" s="79">
        <v>250</v>
      </c>
      <c r="E29" s="82">
        <v>0.78</v>
      </c>
      <c r="F29" s="83">
        <f>IFERROR((D29*E29),"")</f>
        <v>195</v>
      </c>
    </row>
    <row r="30" spans="2:11" x14ac:dyDescent="0.25">
      <c r="B30" s="77" t="s">
        <v>45</v>
      </c>
      <c r="C30" s="78" t="s">
        <v>43</v>
      </c>
      <c r="D30" s="79"/>
      <c r="E30" s="82"/>
      <c r="F30" s="83">
        <f>IFERROR((D30*E30),"")</f>
        <v>0</v>
      </c>
    </row>
    <row r="31" spans="2:11" ht="15.75" thickBot="1" x14ac:dyDescent="0.3">
      <c r="B31" s="84" t="s">
        <v>46</v>
      </c>
      <c r="C31" s="85"/>
      <c r="D31" s="86"/>
      <c r="E31" s="86"/>
      <c r="F31" s="87">
        <f>SUM(F23:F30)</f>
        <v>5854.5</v>
      </c>
    </row>
    <row r="32" spans="2:11" ht="15.75" thickBot="1" x14ac:dyDescent="0.3">
      <c r="B32"/>
    </row>
    <row r="33" spans="2:12" ht="17.25" customHeight="1" x14ac:dyDescent="0.25">
      <c r="B33" s="67" t="s">
        <v>47</v>
      </c>
      <c r="C33" s="68" t="s">
        <v>39</v>
      </c>
      <c r="D33" s="68" t="s">
        <v>40</v>
      </c>
      <c r="E33" s="68" t="s">
        <v>41</v>
      </c>
      <c r="F33" s="68" t="s">
        <v>42</v>
      </c>
    </row>
    <row r="34" spans="2:12" ht="15.75" thickBot="1" x14ac:dyDescent="0.3">
      <c r="B34" s="70"/>
      <c r="C34" s="71"/>
      <c r="D34" s="71"/>
      <c r="E34" s="71"/>
      <c r="F34" s="71"/>
    </row>
    <row r="35" spans="2:12" x14ac:dyDescent="0.25">
      <c r="B35" s="88" t="s">
        <v>48</v>
      </c>
      <c r="C35" s="89" t="s">
        <v>49</v>
      </c>
      <c r="D35" s="90">
        <v>1600</v>
      </c>
      <c r="E35" s="82">
        <v>1</v>
      </c>
      <c r="F35" s="91">
        <f>IFERROR((D35*E35),"")</f>
        <v>1600</v>
      </c>
      <c r="G35" s="69"/>
      <c r="L35" s="69"/>
    </row>
    <row r="36" spans="2:12" x14ac:dyDescent="0.25">
      <c r="B36" s="88" t="s">
        <v>50</v>
      </c>
      <c r="C36" s="89" t="s">
        <v>51</v>
      </c>
      <c r="D36" s="90"/>
      <c r="E36" s="82"/>
      <c r="F36" s="91">
        <f t="shared" ref="F36:F53" si="2">IFERROR((D36*E36),"")</f>
        <v>0</v>
      </c>
      <c r="G36" s="69"/>
      <c r="L36" s="69"/>
    </row>
    <row r="37" spans="2:12" x14ac:dyDescent="0.25">
      <c r="B37" s="88" t="s">
        <v>52</v>
      </c>
      <c r="C37" s="89" t="s">
        <v>51</v>
      </c>
      <c r="D37" s="90"/>
      <c r="E37" s="82"/>
      <c r="F37" s="91">
        <f t="shared" si="2"/>
        <v>0</v>
      </c>
      <c r="G37" s="69"/>
      <c r="L37" s="69"/>
    </row>
    <row r="38" spans="2:12" x14ac:dyDescent="0.25">
      <c r="B38" s="88" t="s">
        <v>53</v>
      </c>
      <c r="C38" s="89" t="s">
        <v>49</v>
      </c>
      <c r="D38" s="90"/>
      <c r="E38" s="82"/>
      <c r="F38" s="91">
        <f t="shared" si="2"/>
        <v>0</v>
      </c>
      <c r="G38" s="69"/>
      <c r="L38" s="69"/>
    </row>
    <row r="39" spans="2:12" x14ac:dyDescent="0.25">
      <c r="B39" s="88" t="s">
        <v>54</v>
      </c>
      <c r="C39" s="89" t="s">
        <v>49</v>
      </c>
      <c r="D39" s="90"/>
      <c r="E39" s="82"/>
      <c r="F39" s="91">
        <f t="shared" si="2"/>
        <v>0</v>
      </c>
      <c r="G39" s="69"/>
      <c r="L39" s="69"/>
    </row>
    <row r="40" spans="2:12" x14ac:dyDescent="0.25">
      <c r="B40" s="88" t="s">
        <v>55</v>
      </c>
      <c r="C40" s="89" t="s">
        <v>51</v>
      </c>
      <c r="D40" s="90"/>
      <c r="E40" s="82"/>
      <c r="F40" s="91">
        <f t="shared" si="2"/>
        <v>0</v>
      </c>
      <c r="G40" s="69"/>
      <c r="L40" s="69"/>
    </row>
    <row r="41" spans="2:12" x14ac:dyDescent="0.25">
      <c r="B41" s="88" t="s">
        <v>56</v>
      </c>
      <c r="C41" s="89" t="s">
        <v>51</v>
      </c>
      <c r="D41" s="90"/>
      <c r="E41" s="82"/>
      <c r="F41" s="91">
        <f t="shared" si="2"/>
        <v>0</v>
      </c>
      <c r="G41" s="69"/>
      <c r="L41" s="69"/>
    </row>
    <row r="42" spans="2:12" s="69" customFormat="1" x14ac:dyDescent="0.2">
      <c r="B42" s="88" t="s">
        <v>57</v>
      </c>
      <c r="C42" s="89" t="s">
        <v>51</v>
      </c>
      <c r="D42" s="90"/>
      <c r="E42" s="82"/>
      <c r="F42" s="91">
        <f t="shared" si="2"/>
        <v>0</v>
      </c>
      <c r="H42" s="1"/>
      <c r="I42" s="1"/>
      <c r="J42" s="1"/>
      <c r="K42" s="1"/>
    </row>
    <row r="43" spans="2:12" s="69" customFormat="1" ht="15.75" customHeight="1" x14ac:dyDescent="0.2">
      <c r="B43" s="88" t="s">
        <v>58</v>
      </c>
      <c r="C43" s="89" t="s">
        <v>51</v>
      </c>
      <c r="D43" s="90"/>
      <c r="E43" s="82"/>
      <c r="F43" s="91">
        <f t="shared" si="2"/>
        <v>0</v>
      </c>
      <c r="H43" s="1"/>
      <c r="I43" s="1"/>
      <c r="J43" s="1"/>
      <c r="K43" s="1"/>
    </row>
    <row r="44" spans="2:12" s="69" customFormat="1" ht="15.75" customHeight="1" x14ac:dyDescent="0.2">
      <c r="B44" s="88" t="s">
        <v>59</v>
      </c>
      <c r="C44" s="89" t="s">
        <v>51</v>
      </c>
      <c r="D44" s="90"/>
      <c r="E44" s="82"/>
      <c r="F44" s="91">
        <f t="shared" si="2"/>
        <v>0</v>
      </c>
      <c r="H44" s="1"/>
      <c r="I44" s="1"/>
      <c r="J44" s="1"/>
      <c r="K44" s="1"/>
    </row>
    <row r="45" spans="2:12" s="69" customFormat="1" ht="15.75" customHeight="1" x14ac:dyDescent="0.2">
      <c r="B45" s="88" t="s">
        <v>60</v>
      </c>
      <c r="C45" s="89" t="s">
        <v>51</v>
      </c>
      <c r="D45" s="90"/>
      <c r="E45" s="82"/>
      <c r="F45" s="91">
        <f t="shared" si="2"/>
        <v>0</v>
      </c>
      <c r="H45" s="1"/>
      <c r="I45" s="1"/>
      <c r="J45" s="1"/>
      <c r="K45" s="1"/>
    </row>
    <row r="46" spans="2:12" s="69" customFormat="1" ht="15.75" customHeight="1" x14ac:dyDescent="0.2">
      <c r="B46" s="88" t="s">
        <v>61</v>
      </c>
      <c r="C46" s="89" t="s">
        <v>51</v>
      </c>
      <c r="D46" s="90">
        <v>3000</v>
      </c>
      <c r="E46" s="82">
        <v>1</v>
      </c>
      <c r="F46" s="91">
        <f t="shared" si="2"/>
        <v>3000</v>
      </c>
      <c r="H46" s="1"/>
      <c r="I46" s="1"/>
      <c r="J46" s="1"/>
      <c r="K46" s="1"/>
    </row>
    <row r="47" spans="2:12" s="69" customFormat="1" x14ac:dyDescent="0.2">
      <c r="B47" s="88" t="s">
        <v>62</v>
      </c>
      <c r="C47" s="89" t="s">
        <v>51</v>
      </c>
      <c r="D47" s="90"/>
      <c r="E47" s="82"/>
      <c r="F47" s="91">
        <f t="shared" si="2"/>
        <v>0</v>
      </c>
      <c r="H47" s="1"/>
      <c r="I47" s="1"/>
      <c r="J47" s="1"/>
      <c r="K47" s="1"/>
    </row>
    <row r="48" spans="2:12" s="69" customFormat="1" x14ac:dyDescent="0.2">
      <c r="B48" s="88" t="s">
        <v>63</v>
      </c>
      <c r="C48" s="89" t="s">
        <v>51</v>
      </c>
      <c r="D48" s="90"/>
      <c r="E48" s="82"/>
      <c r="F48" s="91">
        <f t="shared" si="2"/>
        <v>0</v>
      </c>
      <c r="H48" s="1"/>
      <c r="I48" s="1"/>
      <c r="J48" s="1"/>
      <c r="K48" s="1"/>
    </row>
    <row r="49" spans="2:11" s="69" customFormat="1" ht="15.75" customHeight="1" x14ac:dyDescent="0.2">
      <c r="B49" s="88" t="s">
        <v>64</v>
      </c>
      <c r="C49" s="89" t="s">
        <v>51</v>
      </c>
      <c r="D49" s="90"/>
      <c r="E49" s="82"/>
      <c r="F49" s="91">
        <f t="shared" si="2"/>
        <v>0</v>
      </c>
      <c r="H49" s="1"/>
      <c r="I49" s="1"/>
      <c r="J49" s="1"/>
      <c r="K49" s="1"/>
    </row>
    <row r="50" spans="2:11" s="69" customFormat="1" x14ac:dyDescent="0.2">
      <c r="B50" s="88" t="s">
        <v>65</v>
      </c>
      <c r="C50" s="89" t="s">
        <v>51</v>
      </c>
      <c r="D50" s="90">
        <v>200</v>
      </c>
      <c r="E50" s="82">
        <v>1</v>
      </c>
      <c r="F50" s="91">
        <f t="shared" si="2"/>
        <v>200</v>
      </c>
      <c r="H50" s="1"/>
      <c r="I50" s="1"/>
      <c r="J50" s="1"/>
      <c r="K50" s="1"/>
    </row>
    <row r="51" spans="2:11" s="69" customFormat="1" ht="15" customHeight="1" x14ac:dyDescent="0.2">
      <c r="B51" s="88" t="s">
        <v>66</v>
      </c>
      <c r="C51" s="89" t="s">
        <v>51</v>
      </c>
      <c r="D51" s="90">
        <v>200</v>
      </c>
      <c r="E51" s="82">
        <v>1</v>
      </c>
      <c r="F51" s="91">
        <f t="shared" si="2"/>
        <v>200</v>
      </c>
      <c r="H51" s="1"/>
      <c r="I51" s="1"/>
      <c r="J51" s="1"/>
      <c r="K51" s="1"/>
    </row>
    <row r="52" spans="2:11" s="69" customFormat="1" x14ac:dyDescent="0.2">
      <c r="B52" s="88" t="s">
        <v>67</v>
      </c>
      <c r="C52" s="89" t="s">
        <v>51</v>
      </c>
      <c r="D52" s="90"/>
      <c r="E52" s="82"/>
      <c r="F52" s="91">
        <f t="shared" si="2"/>
        <v>0</v>
      </c>
      <c r="H52" s="1"/>
      <c r="I52" s="1"/>
      <c r="J52" s="1"/>
      <c r="K52" s="1"/>
    </row>
    <row r="53" spans="2:11" s="69" customFormat="1" x14ac:dyDescent="0.2">
      <c r="B53" s="88" t="s">
        <v>68</v>
      </c>
      <c r="C53" s="89" t="s">
        <v>49</v>
      </c>
      <c r="D53" s="90">
        <v>500</v>
      </c>
      <c r="E53" s="82">
        <v>1</v>
      </c>
      <c r="F53" s="91">
        <f t="shared" si="2"/>
        <v>500</v>
      </c>
      <c r="H53" s="1"/>
      <c r="I53" s="1"/>
      <c r="J53" s="1"/>
      <c r="K53" s="1"/>
    </row>
    <row r="54" spans="2:11" s="69" customFormat="1" ht="15.75" thickBot="1" x14ac:dyDescent="0.25">
      <c r="B54" s="92" t="s">
        <v>69</v>
      </c>
      <c r="C54" s="93"/>
      <c r="D54" s="94"/>
      <c r="E54" s="94"/>
      <c r="F54" s="95">
        <f>SUM(F35:F53)</f>
        <v>5500</v>
      </c>
      <c r="H54" s="1"/>
      <c r="I54" s="1"/>
      <c r="J54" s="1"/>
      <c r="K54" s="1"/>
    </row>
    <row r="55" spans="2:11" s="69" customFormat="1" ht="15.75" thickBot="1" x14ac:dyDescent="0.25">
      <c r="B55" s="96"/>
      <c r="C55" s="96"/>
      <c r="D55" s="96"/>
      <c r="E55" s="96"/>
      <c r="F55" s="96"/>
      <c r="H55" s="1"/>
      <c r="I55" s="1"/>
      <c r="J55" s="1"/>
      <c r="K55" s="1"/>
    </row>
    <row r="56" spans="2:11" s="69" customFormat="1" ht="15" customHeight="1" x14ac:dyDescent="0.2">
      <c r="B56" s="67" t="s">
        <v>70</v>
      </c>
      <c r="C56" s="68" t="s">
        <v>39</v>
      </c>
      <c r="D56" s="68" t="s">
        <v>40</v>
      </c>
      <c r="E56" s="68" t="s">
        <v>41</v>
      </c>
      <c r="F56" s="68" t="s">
        <v>42</v>
      </c>
      <c r="H56" s="1"/>
      <c r="I56" s="1"/>
      <c r="J56" s="1"/>
      <c r="K56" s="1"/>
    </row>
    <row r="57" spans="2:11" s="69" customFormat="1" ht="15.75" customHeight="1" thickBot="1" x14ac:dyDescent="0.25">
      <c r="B57" s="70"/>
      <c r="C57" s="71"/>
      <c r="D57" s="71"/>
      <c r="E57" s="71"/>
      <c r="F57" s="71"/>
      <c r="H57" s="1"/>
      <c r="I57" s="1"/>
      <c r="J57" s="1"/>
      <c r="K57" s="1"/>
    </row>
    <row r="58" spans="2:11" s="69" customFormat="1" x14ac:dyDescent="0.2">
      <c r="B58" s="97" t="s">
        <v>71</v>
      </c>
      <c r="C58" s="98" t="s">
        <v>51</v>
      </c>
      <c r="D58" s="99">
        <v>70</v>
      </c>
      <c r="E58" s="82">
        <v>1</v>
      </c>
      <c r="F58" s="83">
        <f t="shared" ref="F58:F66" si="3">IFERROR((D58*E58),"")</f>
        <v>70</v>
      </c>
      <c r="H58" s="1"/>
      <c r="I58" s="1"/>
      <c r="J58" s="1"/>
      <c r="K58" s="1"/>
    </row>
    <row r="59" spans="2:11" s="69" customFormat="1" x14ac:dyDescent="0.2">
      <c r="B59" s="88" t="s">
        <v>72</v>
      </c>
      <c r="C59" s="89" t="s">
        <v>51</v>
      </c>
      <c r="D59" s="90"/>
      <c r="E59" s="82"/>
      <c r="F59" s="83">
        <f t="shared" si="3"/>
        <v>0</v>
      </c>
      <c r="H59" s="1"/>
      <c r="I59" s="1"/>
      <c r="J59" s="1"/>
      <c r="K59" s="1"/>
    </row>
    <row r="60" spans="2:11" s="69" customFormat="1" ht="15" customHeight="1" x14ac:dyDescent="0.2">
      <c r="B60" s="88" t="s">
        <v>73</v>
      </c>
      <c r="C60" s="89" t="s">
        <v>51</v>
      </c>
      <c r="D60" s="90">
        <v>10</v>
      </c>
      <c r="E60" s="82">
        <v>1</v>
      </c>
      <c r="F60" s="83">
        <f t="shared" si="3"/>
        <v>10</v>
      </c>
      <c r="H60" s="1"/>
      <c r="I60" s="1"/>
      <c r="J60" s="1"/>
      <c r="K60" s="1"/>
    </row>
    <row r="61" spans="2:11" s="69" customFormat="1" x14ac:dyDescent="0.25">
      <c r="B61" s="88" t="s">
        <v>74</v>
      </c>
      <c r="C61" s="89" t="s">
        <v>51</v>
      </c>
      <c r="D61" s="90">
        <v>130</v>
      </c>
      <c r="E61" s="82">
        <v>1</v>
      </c>
      <c r="F61" s="83">
        <f t="shared" si="3"/>
        <v>130</v>
      </c>
      <c r="G61"/>
      <c r="H61" s="1"/>
      <c r="I61" s="1"/>
      <c r="J61" s="1"/>
      <c r="K61" s="1"/>
    </row>
    <row r="62" spans="2:11" s="69" customFormat="1" ht="16.5" customHeight="1" x14ac:dyDescent="0.25">
      <c r="B62" s="88" t="s">
        <v>75</v>
      </c>
      <c r="C62" s="89" t="s">
        <v>51</v>
      </c>
      <c r="D62" s="90"/>
      <c r="E62" s="82"/>
      <c r="F62" s="83">
        <f t="shared" si="3"/>
        <v>0</v>
      </c>
      <c r="G62"/>
      <c r="H62" s="1"/>
      <c r="I62" s="1"/>
      <c r="J62" s="1"/>
      <c r="K62" s="1"/>
    </row>
    <row r="63" spans="2:11" s="69" customFormat="1" x14ac:dyDescent="0.25">
      <c r="B63" s="88" t="s">
        <v>76</v>
      </c>
      <c r="C63" s="89" t="s">
        <v>51</v>
      </c>
      <c r="D63" s="90">
        <v>10</v>
      </c>
      <c r="E63" s="82">
        <v>2</v>
      </c>
      <c r="F63" s="83">
        <f t="shared" si="3"/>
        <v>20</v>
      </c>
      <c r="G63"/>
      <c r="H63" s="1"/>
      <c r="I63" s="1"/>
      <c r="J63" s="1"/>
      <c r="K63" s="1"/>
    </row>
    <row r="64" spans="2:11" s="69" customFormat="1" ht="15" customHeight="1" x14ac:dyDescent="0.25">
      <c r="B64" s="88" t="s">
        <v>77</v>
      </c>
      <c r="C64" s="89" t="s">
        <v>51</v>
      </c>
      <c r="D64" s="90"/>
      <c r="E64" s="82"/>
      <c r="F64" s="83">
        <f t="shared" si="3"/>
        <v>0</v>
      </c>
      <c r="G64"/>
      <c r="H64" s="1"/>
      <c r="I64" s="1"/>
      <c r="J64" s="1"/>
      <c r="K64" s="1"/>
    </row>
    <row r="65" spans="2:12" s="69" customFormat="1" ht="17.25" customHeight="1" x14ac:dyDescent="0.25">
      <c r="B65" s="88" t="s">
        <v>78</v>
      </c>
      <c r="C65" s="89" t="s">
        <v>79</v>
      </c>
      <c r="D65" s="90"/>
      <c r="E65" s="82"/>
      <c r="F65" s="83">
        <f>IFERROR((D65*E65),"")</f>
        <v>0</v>
      </c>
      <c r="G65"/>
      <c r="H65" s="1"/>
      <c r="I65" s="1"/>
      <c r="J65" s="1"/>
      <c r="K65" s="1"/>
    </row>
    <row r="66" spans="2:12" x14ac:dyDescent="0.25">
      <c r="B66" s="88" t="s">
        <v>80</v>
      </c>
      <c r="C66" s="89" t="s">
        <v>51</v>
      </c>
      <c r="D66" s="90">
        <v>94</v>
      </c>
      <c r="E66" s="82">
        <v>1</v>
      </c>
      <c r="F66" s="83">
        <f t="shared" si="3"/>
        <v>94</v>
      </c>
    </row>
    <row r="67" spans="2:12" ht="15.75" thickBot="1" x14ac:dyDescent="0.3">
      <c r="B67" s="92" t="s">
        <v>81</v>
      </c>
      <c r="C67" s="93"/>
      <c r="D67" s="94"/>
      <c r="E67" s="94"/>
      <c r="F67" s="95">
        <f>SUM(F58:F66)</f>
        <v>324</v>
      </c>
    </row>
    <row r="68" spans="2:12" ht="15.75" thickBot="1" x14ac:dyDescent="0.3"/>
    <row r="69" spans="2:12" s="69" customFormat="1" ht="15" customHeight="1" x14ac:dyDescent="0.25">
      <c r="B69" s="67" t="s">
        <v>82</v>
      </c>
      <c r="C69" s="68" t="s">
        <v>39</v>
      </c>
      <c r="D69" s="68" t="s">
        <v>83</v>
      </c>
      <c r="E69" s="68" t="s">
        <v>41</v>
      </c>
      <c r="F69" s="68" t="s">
        <v>42</v>
      </c>
      <c r="G69"/>
      <c r="H69" s="1"/>
      <c r="I69" s="1"/>
      <c r="J69" s="1"/>
      <c r="K69" s="1"/>
    </row>
    <row r="70" spans="2:12" s="69" customFormat="1" ht="15.75" thickBot="1" x14ac:dyDescent="0.3">
      <c r="B70" s="70"/>
      <c r="C70" s="71"/>
      <c r="D70" s="71" t="s">
        <v>51</v>
      </c>
      <c r="E70" s="71"/>
      <c r="F70" s="71"/>
      <c r="G70"/>
      <c r="H70" s="1"/>
      <c r="I70" s="1"/>
      <c r="J70" s="1"/>
      <c r="K70" s="1"/>
    </row>
    <row r="71" spans="2:12" s="69" customFormat="1" x14ac:dyDescent="0.25">
      <c r="B71" s="88" t="s">
        <v>84</v>
      </c>
      <c r="C71" s="89" t="s">
        <v>51</v>
      </c>
      <c r="D71" s="90"/>
      <c r="E71" s="82"/>
      <c r="F71" s="83">
        <f t="shared" ref="F71:F77" si="4">IFERROR((D71*E71),"")</f>
        <v>0</v>
      </c>
      <c r="G71"/>
      <c r="H71" s="1"/>
      <c r="I71" s="1"/>
      <c r="J71" s="1"/>
      <c r="K71" s="1"/>
    </row>
    <row r="72" spans="2:12" s="69" customFormat="1" x14ac:dyDescent="0.25">
      <c r="B72" s="88" t="s">
        <v>85</v>
      </c>
      <c r="C72" s="89" t="s">
        <v>51</v>
      </c>
      <c r="D72" s="90"/>
      <c r="E72" s="82"/>
      <c r="F72" s="83">
        <f t="shared" si="4"/>
        <v>0</v>
      </c>
      <c r="G72"/>
      <c r="H72" s="1"/>
      <c r="I72" s="1"/>
      <c r="J72" s="1"/>
      <c r="K72" s="1"/>
    </row>
    <row r="73" spans="2:12" s="69" customFormat="1" x14ac:dyDescent="0.25">
      <c r="B73" s="88" t="s">
        <v>86</v>
      </c>
      <c r="C73" s="89" t="s">
        <v>87</v>
      </c>
      <c r="D73" s="90"/>
      <c r="E73" s="82"/>
      <c r="F73" s="83">
        <f t="shared" si="4"/>
        <v>0</v>
      </c>
      <c r="G73"/>
      <c r="H73" s="1"/>
      <c r="I73" s="1"/>
      <c r="J73" s="1"/>
      <c r="K73" s="1"/>
    </row>
    <row r="74" spans="2:12" s="69" customFormat="1" x14ac:dyDescent="0.25">
      <c r="B74" s="88" t="s">
        <v>78</v>
      </c>
      <c r="C74" s="89" t="s">
        <v>87</v>
      </c>
      <c r="D74" s="90"/>
      <c r="E74" s="82"/>
      <c r="F74" s="83">
        <f t="shared" si="4"/>
        <v>0</v>
      </c>
      <c r="G74"/>
      <c r="H74" s="1"/>
      <c r="I74" s="1"/>
      <c r="J74" s="1"/>
      <c r="K74" s="1"/>
    </row>
    <row r="75" spans="2:12" s="69" customFormat="1" x14ac:dyDescent="0.25">
      <c r="B75" s="88" t="s">
        <v>88</v>
      </c>
      <c r="C75" s="89" t="s">
        <v>51</v>
      </c>
      <c r="D75" s="90"/>
      <c r="E75" s="82"/>
      <c r="F75" s="83">
        <f t="shared" si="4"/>
        <v>0</v>
      </c>
      <c r="G75"/>
      <c r="H75" s="1"/>
      <c r="I75" s="1"/>
      <c r="J75" s="1"/>
      <c r="K75" s="1"/>
    </row>
    <row r="76" spans="2:12" s="69" customFormat="1" x14ac:dyDescent="0.25">
      <c r="B76" s="88" t="s">
        <v>89</v>
      </c>
      <c r="C76" s="89" t="s">
        <v>87</v>
      </c>
      <c r="D76" s="90">
        <v>300</v>
      </c>
      <c r="E76" s="82">
        <v>0.8</v>
      </c>
      <c r="F76" s="83">
        <f t="shared" si="4"/>
        <v>240</v>
      </c>
      <c r="G76"/>
      <c r="H76" s="1"/>
      <c r="I76" s="1"/>
      <c r="J76" s="1"/>
      <c r="K76" s="1"/>
    </row>
    <row r="77" spans="2:12" s="69" customFormat="1" x14ac:dyDescent="0.25">
      <c r="B77" s="88" t="s">
        <v>90</v>
      </c>
      <c r="C77" s="89" t="s">
        <v>51</v>
      </c>
      <c r="D77" s="90"/>
      <c r="E77" s="82"/>
      <c r="F77" s="83">
        <f t="shared" si="4"/>
        <v>0</v>
      </c>
      <c r="G77"/>
      <c r="H77" s="1"/>
      <c r="I77" s="1"/>
      <c r="J77" s="1"/>
      <c r="K77" s="1"/>
    </row>
    <row r="78" spans="2:12" s="69" customFormat="1" ht="15.75" thickBot="1" x14ac:dyDescent="0.3">
      <c r="B78" s="100" t="s">
        <v>91</v>
      </c>
      <c r="C78" s="93"/>
      <c r="D78" s="94"/>
      <c r="E78" s="94"/>
      <c r="F78" s="95">
        <f>SUM(F71:F77)</f>
        <v>240</v>
      </c>
      <c r="G78"/>
      <c r="H78" s="1"/>
      <c r="I78" s="1"/>
      <c r="J78" s="1"/>
      <c r="K78" s="1"/>
    </row>
    <row r="79" spans="2:12" s="69" customFormat="1" ht="15.75" thickBot="1" x14ac:dyDescent="0.3">
      <c r="G79"/>
      <c r="H79" s="1"/>
      <c r="I79" s="1"/>
      <c r="J79" s="1"/>
      <c r="K79" s="1"/>
    </row>
    <row r="80" spans="2:12" s="69" customFormat="1" ht="15.75" thickBot="1" x14ac:dyDescent="0.3">
      <c r="B80" s="101" t="s">
        <v>92</v>
      </c>
      <c r="C80" s="102"/>
      <c r="D80" s="102"/>
      <c r="E80" s="102"/>
      <c r="F80" s="103"/>
      <c r="G80"/>
      <c r="H80" s="1"/>
      <c r="I80" s="1"/>
      <c r="J80" s="1"/>
      <c r="K80" s="1"/>
      <c r="L80" s="104" t="s">
        <v>93</v>
      </c>
    </row>
    <row r="81" spans="2:11" s="69" customFormat="1" x14ac:dyDescent="0.25">
      <c r="B81" s="105" t="s">
        <v>94</v>
      </c>
      <c r="C81" s="106" t="s">
        <v>51</v>
      </c>
      <c r="D81" s="90">
        <v>200</v>
      </c>
      <c r="E81" s="107">
        <v>1</v>
      </c>
      <c r="F81" s="108">
        <f>D81*E81</f>
        <v>200</v>
      </c>
      <c r="G81"/>
      <c r="H81" s="1"/>
      <c r="I81" s="1"/>
      <c r="J81" s="1"/>
      <c r="K81" s="1"/>
    </row>
    <row r="82" spans="2:11" s="69" customFormat="1" x14ac:dyDescent="0.25">
      <c r="B82" s="88" t="s">
        <v>95</v>
      </c>
      <c r="C82" s="89" t="s">
        <v>51</v>
      </c>
      <c r="D82" s="90">
        <v>200</v>
      </c>
      <c r="E82" s="109">
        <v>1</v>
      </c>
      <c r="F82" s="83">
        <f>+E82*D82</f>
        <v>200</v>
      </c>
      <c r="G82"/>
      <c r="H82" s="1"/>
      <c r="I82" s="1"/>
      <c r="J82" s="1"/>
      <c r="K82" s="1"/>
    </row>
    <row r="83" spans="2:11" s="69" customFormat="1" x14ac:dyDescent="0.25">
      <c r="B83" s="88" t="s">
        <v>96</v>
      </c>
      <c r="C83" s="89" t="s">
        <v>51</v>
      </c>
      <c r="D83" s="90"/>
      <c r="E83" s="109"/>
      <c r="F83" s="83"/>
      <c r="G83"/>
      <c r="H83" s="1"/>
      <c r="I83" s="1"/>
      <c r="J83" s="1"/>
      <c r="K83" s="1"/>
    </row>
    <row r="84" spans="2:11" s="69" customFormat="1" x14ac:dyDescent="0.25">
      <c r="B84" s="88" t="s">
        <v>97</v>
      </c>
      <c r="C84" s="89"/>
      <c r="D84" s="90"/>
      <c r="E84" s="110"/>
      <c r="F84" s="83">
        <f>((((F31+F54+F67+F78)*1.35)*70%)*19%)</f>
        <v>2139.9666750000001</v>
      </c>
      <c r="G84"/>
      <c r="H84" s="1"/>
      <c r="I84" s="1"/>
      <c r="J84" s="1"/>
      <c r="K84" s="1"/>
    </row>
    <row r="85" spans="2:11" ht="15.75" thickBot="1" x14ac:dyDescent="0.3">
      <c r="B85" s="100" t="s">
        <v>98</v>
      </c>
      <c r="C85" s="93"/>
      <c r="D85" s="94"/>
      <c r="E85" s="94"/>
      <c r="F85" s="95">
        <f>SUM(F81:F84)</f>
        <v>2539.9666750000001</v>
      </c>
    </row>
    <row r="86" spans="2:11" ht="15.75" thickBot="1" x14ac:dyDescent="0.3">
      <c r="B86" s="96"/>
      <c r="C86" s="96"/>
      <c r="D86" s="96"/>
      <c r="E86" s="96"/>
      <c r="F86" s="111"/>
    </row>
    <row r="87" spans="2:11" x14ac:dyDescent="0.25">
      <c r="B87" s="112" t="s">
        <v>99</v>
      </c>
      <c r="C87" s="113"/>
      <c r="D87" s="113"/>
      <c r="E87" s="114"/>
      <c r="F87" s="115">
        <f>+F31+F54+F67+F78+F85</f>
        <v>14458.466675</v>
      </c>
    </row>
    <row r="88" spans="2:11" ht="15.75" thickBot="1" x14ac:dyDescent="0.3">
      <c r="B88" s="116" t="s">
        <v>100</v>
      </c>
      <c r="C88" s="117"/>
      <c r="D88" s="117"/>
      <c r="E88" s="118"/>
      <c r="F88" s="119">
        <f>ROUND((F87-F85),-1)</f>
        <v>11920</v>
      </c>
    </row>
    <row r="90" spans="2:11" x14ac:dyDescent="0.25">
      <c r="B90"/>
      <c r="C90"/>
      <c r="D90"/>
      <c r="E90"/>
      <c r="F90"/>
    </row>
    <row r="91" spans="2:11" x14ac:dyDescent="0.25">
      <c r="B91"/>
      <c r="C91"/>
      <c r="D91"/>
      <c r="E91"/>
      <c r="F91"/>
    </row>
    <row r="92" spans="2:11" x14ac:dyDescent="0.25">
      <c r="B92"/>
      <c r="C92"/>
      <c r="D92"/>
      <c r="E92"/>
      <c r="F92"/>
    </row>
  </sheetData>
  <mergeCells count="30">
    <mergeCell ref="B87:E87"/>
    <mergeCell ref="B88:E88"/>
    <mergeCell ref="B69:B70"/>
    <mergeCell ref="C69:C70"/>
    <mergeCell ref="D69:D70"/>
    <mergeCell ref="E69:E70"/>
    <mergeCell ref="F69:F70"/>
    <mergeCell ref="B80:F80"/>
    <mergeCell ref="B33:B34"/>
    <mergeCell ref="C33:C34"/>
    <mergeCell ref="D33:D34"/>
    <mergeCell ref="E33:E34"/>
    <mergeCell ref="F33:F34"/>
    <mergeCell ref="B56:B57"/>
    <mergeCell ref="C56:C57"/>
    <mergeCell ref="D56:D57"/>
    <mergeCell ref="E56:E57"/>
    <mergeCell ref="F56:F57"/>
    <mergeCell ref="B19:F19"/>
    <mergeCell ref="B21:B22"/>
    <mergeCell ref="C21:C22"/>
    <mergeCell ref="D21:D22"/>
    <mergeCell ref="E21:E22"/>
    <mergeCell ref="F21:F22"/>
    <mergeCell ref="B2:F2"/>
    <mergeCell ref="B3:F3"/>
    <mergeCell ref="D4:F4"/>
    <mergeCell ref="H5:K6"/>
    <mergeCell ref="C11:D11"/>
    <mergeCell ref="B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13098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AUXILIAR2</dc:creator>
  <cp:lastModifiedBy>AUXILIAR2</cp:lastModifiedBy>
  <dcterms:created xsi:type="dcterms:W3CDTF">2026-03-11T21:46:19Z</dcterms:created>
  <dcterms:modified xsi:type="dcterms:W3CDTF">2026-03-11T21:46:53Z</dcterms:modified>
</cp:coreProperties>
</file>