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OneDrive\Desktop\"/>
    </mc:Choice>
  </mc:AlternateContent>
  <xr:revisionPtr revIDLastSave="0" documentId="13_ncr:1_{64B403D2-309D-42A9-887E-7FE386DD92C1}" xr6:coauthVersionLast="47" xr6:coauthVersionMax="47" xr10:uidLastSave="{00000000-0000-0000-0000-000000000000}"/>
  <bookViews>
    <workbookView xWindow="-120" yWindow="-120" windowWidth="29040" windowHeight="15720" xr2:uid="{3E758EE4-9462-44B4-985D-4B0714BC4BB6}"/>
  </bookViews>
  <sheets>
    <sheet name="MEDIA NARANJA" sheetId="2" r:id="rId1"/>
    <sheet name="Hoja1" sheetId="1" r:id="rId2"/>
  </sheets>
  <definedNames>
    <definedName name="_xlnm._FilterDatabase" localSheetId="0" hidden="1">'MEDIA NARANJA'!$B$18:$N$19</definedName>
    <definedName name="_xlnm.Print_Area" localSheetId="0">'MEDIA NARANJA'!$B$2:$N$103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" i="2" l="1"/>
  <c r="N100" i="2"/>
  <c r="N101" i="2"/>
  <c r="N102" i="2"/>
  <c r="N94" i="2"/>
  <c r="N95" i="2"/>
  <c r="N96" i="2"/>
  <c r="N97" i="2"/>
  <c r="N98" i="2"/>
  <c r="N93" i="2"/>
  <c r="N103" i="2" s="1"/>
  <c r="L103" i="2"/>
</calcChain>
</file>

<file path=xl/sharedStrings.xml><?xml version="1.0" encoding="utf-8"?>
<sst xmlns="http://schemas.openxmlformats.org/spreadsheetml/2006/main" count="124" uniqueCount="123">
  <si>
    <t>ARARE SAS</t>
  </si>
  <si>
    <t>OF</t>
  </si>
  <si>
    <t>RM</t>
  </si>
  <si>
    <t>PEDIDO N°</t>
  </si>
  <si>
    <t>NIT 901.453.438-4</t>
  </si>
  <si>
    <t>CALLE 77 45A 30 PISO 3</t>
  </si>
  <si>
    <t>EL CARMELO - ITAGUI - (ANT)</t>
  </si>
  <si>
    <t>PBX 444 83 60 - CEL. 3146320002</t>
  </si>
  <si>
    <t>VEND.</t>
  </si>
  <si>
    <t>JOHN</t>
  </si>
  <si>
    <t>CLIENTE</t>
  </si>
  <si>
    <t>NIT</t>
  </si>
  <si>
    <t>DIRECCION</t>
  </si>
  <si>
    <t>CIUDAD</t>
  </si>
  <si>
    <t>FECHA</t>
  </si>
  <si>
    <t>CONTACTO</t>
  </si>
  <si>
    <t>ZONA</t>
  </si>
  <si>
    <t>CELULAR</t>
  </si>
  <si>
    <t>CORREO ELECTRONICO ADMON</t>
  </si>
  <si>
    <t>INICIO DESP.</t>
  </si>
  <si>
    <t>CORREO ELECTRONICO FACT. ELECTRONICA</t>
  </si>
  <si>
    <t>FIN DESP.</t>
  </si>
  <si>
    <t>REFERENCIA</t>
  </si>
  <si>
    <t>DESCRIPCION</t>
  </si>
  <si>
    <t>NOVEDAD</t>
  </si>
  <si>
    <t>UNDS</t>
  </si>
  <si>
    <t>P.V</t>
  </si>
  <si>
    <t>TOTAL</t>
  </si>
  <si>
    <t>S</t>
  </si>
  <si>
    <t>M</t>
  </si>
  <si>
    <t>L</t>
  </si>
  <si>
    <t>XL</t>
  </si>
  <si>
    <t>2XL</t>
  </si>
  <si>
    <t>3XL</t>
  </si>
  <si>
    <t>BLUSA BLONDA RANGLAN</t>
  </si>
  <si>
    <t>TOTALES</t>
  </si>
  <si>
    <t>MEDIA NARANJA</t>
  </si>
  <si>
    <t>-</t>
  </si>
  <si>
    <t>TODOS LOS ALMACENES</t>
  </si>
  <si>
    <t xml:space="preserve">MEDELLIN       </t>
  </si>
  <si>
    <t>CENTRO</t>
  </si>
  <si>
    <t xml:space="preserve">BLUSA EN MAYA CON  TAPA VARILLA </t>
  </si>
  <si>
    <t>TOP HERRAJE CORAZON</t>
  </si>
  <si>
    <t>CROP TOP PIEDRAS</t>
  </si>
  <si>
    <t>ESTRAPLE CORAZONES PIEDRAS FTE</t>
  </si>
  <si>
    <t>CROP TOP CUELLO HALTAAER CORAZON</t>
  </si>
  <si>
    <t>BLUSA MALLA</t>
  </si>
  <si>
    <t xml:space="preserve">BLUSA EN MAYATEX HERRAJE </t>
  </si>
  <si>
    <t>ESTRAPLE RIB BOTONES</t>
  </si>
  <si>
    <t xml:space="preserve">STRAPLE CON FRANJA </t>
  </si>
  <si>
    <t>ESTRAPLE DESTELLANTE</t>
  </si>
  <si>
    <t xml:space="preserve">BLUS COPA  SESGO EN CONTRASTE </t>
  </si>
  <si>
    <t>CAMISILLA DOBLE APLIQUE CORAZON</t>
  </si>
  <si>
    <t>TOP CALIFORNIA</t>
  </si>
  <si>
    <t>CAMISETA MGA CORTA A RAYAS</t>
  </si>
  <si>
    <t xml:space="preserve">BLUSA  APLIQUE EN PIEDRA </t>
  </si>
  <si>
    <t xml:space="preserve">BLUSA BOLERO EN FRENTE BOTON CORAZON </t>
  </si>
  <si>
    <t>BLUSA ASIA1</t>
  </si>
  <si>
    <t xml:space="preserve">BLUSA YES CORAZON </t>
  </si>
  <si>
    <t xml:space="preserve">BLUSA APERTURA FRENTE </t>
  </si>
  <si>
    <t xml:space="preserve">CROPTO  FRANJA Y BROCHADURA </t>
  </si>
  <si>
    <t>CAMISILLA NAPOLEONICA</t>
  </si>
  <si>
    <t>CAMISETA RAYAS CUELLO Y PUÑOS SESGADOS</t>
  </si>
  <si>
    <t>CAMISETA RAYAS APLIQUE OSO</t>
  </si>
  <si>
    <t xml:space="preserve">BLUSA ASIA </t>
  </si>
  <si>
    <t>CAMISETA BELIEVE</t>
  </si>
  <si>
    <t xml:space="preserve">BLUSA NAPOLEICA </t>
  </si>
  <si>
    <t xml:space="preserve">BLUSA ESTRAPLE  RAYAS FLORES </t>
  </si>
  <si>
    <t>STRAPLE ROMABELLA</t>
  </si>
  <si>
    <t xml:space="preserve">CAMISETA FONDEO DE BOLAS </t>
  </si>
  <si>
    <t>CAMISETA OVERSIZE</t>
  </si>
  <si>
    <t>CAMISETA ESTRELAS PERLAS</t>
  </si>
  <si>
    <t xml:space="preserve">BLUSA TRAPARENTE EN PIEDRA </t>
  </si>
  <si>
    <t>CAMISETA MGA CORTA BOLAS FRANJA FTE</t>
  </si>
  <si>
    <t>BLUSA CUELLO ASIMETRICO HERRAJE</t>
  </si>
  <si>
    <t xml:space="preserve">BODY  FOIL MANCHAS </t>
  </si>
  <si>
    <t>BODY TOP INCLUIDO MAYATEX BOLAS</t>
  </si>
  <si>
    <t>BODY LEOPARDO</t>
  </si>
  <si>
    <t>POLO DAMA RALLAS</t>
  </si>
  <si>
    <t>ESTRAPLE BOLAS PEPLUM</t>
  </si>
  <si>
    <t xml:space="preserve">CROPTO  COPAS BOLAS </t>
  </si>
  <si>
    <t xml:space="preserve">CROPT COPA RAYAS </t>
  </si>
  <si>
    <t xml:space="preserve">STRAPLE  PERILLA </t>
  </si>
  <si>
    <t>BLUSA CUELLO HALTAER DRAPEADA</t>
  </si>
  <si>
    <t>BLUSA CIERRE</t>
  </si>
  <si>
    <t>POLO ADRIANA</t>
  </si>
  <si>
    <t>CAMISETA AMARRE INFERIOR CON APLIQUE Y PERLAS</t>
  </si>
  <si>
    <t xml:space="preserve">BLUSA BLONDA  </t>
  </si>
  <si>
    <t>BLUSA AMERICANA BOTONES CORAZON</t>
  </si>
  <si>
    <t>CAMISETA EN V</t>
  </si>
  <si>
    <t xml:space="preserve">CAMISETA RAYA VERTICALES BOLSILLO CORAZON </t>
  </si>
  <si>
    <t>CAMISETA ESPALDA CORAZON</t>
  </si>
  <si>
    <t xml:space="preserve">CAMISETA RAYAS ESTRELLAS </t>
  </si>
  <si>
    <t>CAMISETA OVERSAY RAYA ESTAMPADA</t>
  </si>
  <si>
    <t>CAMISETA DEPORTIVA LOS ANGELES</t>
  </si>
  <si>
    <t>CAMISETA MAYA 23</t>
  </si>
  <si>
    <t>CAMISETA SUBLIMADA CALIFORNIA</t>
  </si>
  <si>
    <t>CAMISETA 67</t>
  </si>
  <si>
    <t>CAMISERA MAYATEX PUNTOS</t>
  </si>
  <si>
    <t>CAMISERA  SUBLIMADO RAYAS</t>
  </si>
  <si>
    <t>CAMISETA APLIQUE FTE</t>
  </si>
  <si>
    <t>BLUSA BOTONES</t>
  </si>
  <si>
    <t>BLUSON RAYA  CON GRIPIR</t>
  </si>
  <si>
    <t>CAMISERA BOLSI MAYAS  Y FRANJA RUEDO</t>
  </si>
  <si>
    <t>DUO RAYAS</t>
  </si>
  <si>
    <t>DUO FLORES</t>
  </si>
  <si>
    <t xml:space="preserve">DUO DE DAMA CORAZON </t>
  </si>
  <si>
    <t>CHALECO NAPOLEON</t>
  </si>
  <si>
    <t>BLUSA TEJIDA DE PLUSS</t>
  </si>
  <si>
    <t xml:space="preserve">BLUSA  DE PLUS LUNARES </t>
  </si>
  <si>
    <t>BLUSA DOBLE BOLERO BOLAS PLUSS</t>
  </si>
  <si>
    <t>BLUSA CUELLO ASIMETRICA RECOGIDA APLIQUE PIEDRAS</t>
  </si>
  <si>
    <t>BLUSA PLUSS MANGA SISA RAYAS</t>
  </si>
  <si>
    <t>BLUSA EN RAYA POLO  PLUSS</t>
  </si>
  <si>
    <t>POLO PLUS CHANEL</t>
  </si>
  <si>
    <t xml:space="preserve">CAMISETA PLUS LUXURY </t>
  </si>
  <si>
    <t>BLUSA PLUS DRAPEADA</t>
  </si>
  <si>
    <t>BLUSA PIEDRA Y PERLAS PLUSS ABERTURA INFERIOR</t>
  </si>
  <si>
    <t>CAMISETA PLUS CRUZADA BOTONES</t>
  </si>
  <si>
    <t>CAMISETA RIB PUNTOS NYC</t>
  </si>
  <si>
    <t>CAMISETA PERRITO ENVIVADA PLUSS</t>
  </si>
  <si>
    <t>CAMISETA PLUSS CORAZONES</t>
  </si>
  <si>
    <t xml:space="preserve">BLUSA DE PLUS FRANJA BOLSILLO CONTRASTE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</si>
</sst>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.00_);_(* \(#,##0.00\);_(* &quot;-&quot;??_);_(@_)"/>
    <numFmt numFmtId="166" formatCode="000"/>
    <numFmt numFmtId="167" formatCode="_-[$$-240A]\ * #,##0_-;\-[$$-240A]\ * #,##0_-;_-[$$-240A]\ * &quot;-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sz val="14"/>
      <color theme="1"/>
      <name val="Tahoma"/>
      <family val="2"/>
    </font>
    <font>
      <b/>
      <sz val="11"/>
      <color theme="1"/>
      <name val="Tahoma"/>
      <family val="2"/>
    </font>
    <font>
      <sz val="14"/>
      <color theme="1"/>
      <name val="Calibri"/>
      <family val="2"/>
      <scheme val="minor"/>
    </font>
    <font>
      <sz val="1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2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2" applyFont="1" applyBorder="1"/>
    <xf numFmtId="164" fontId="2" fillId="0" borderId="3" xfId="2" applyFont="1" applyBorder="1"/>
    <xf numFmtId="0" fontId="2" fillId="0" borderId="4" xfId="0" applyFont="1" applyBorder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164" fontId="2" fillId="0" borderId="6" xfId="2" applyFont="1" applyBorder="1"/>
    <xf numFmtId="164" fontId="3" fillId="0" borderId="6" xfId="2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164" fontId="2" fillId="0" borderId="10" xfId="2" applyFont="1" applyBorder="1"/>
    <xf numFmtId="164" fontId="2" fillId="0" borderId="11" xfId="2" applyFont="1" applyBorder="1"/>
    <xf numFmtId="165" fontId="4" fillId="0" borderId="12" xfId="1" applyFont="1" applyBorder="1" applyAlignment="1">
      <alignment vertical="center"/>
    </xf>
    <xf numFmtId="0" fontId="4" fillId="0" borderId="5" xfId="1" applyNumberFormat="1" applyFont="1" applyBorder="1" applyAlignment="1">
      <alignment horizontal="left" vertical="center"/>
    </xf>
    <xf numFmtId="166" fontId="5" fillId="3" borderId="5" xfId="1" applyNumberFormat="1" applyFont="1" applyFill="1" applyBorder="1" applyAlignment="1">
      <alignment horizontal="center" vertical="center"/>
    </xf>
    <xf numFmtId="0" fontId="5" fillId="0" borderId="0" xfId="0" applyFont="1"/>
    <xf numFmtId="0" fontId="3" fillId="0" borderId="4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2" applyFont="1" applyBorder="1" applyAlignment="1">
      <alignment horizontal="left"/>
    </xf>
    <xf numFmtId="164" fontId="3" fillId="0" borderId="0" xfId="2" applyFont="1" applyBorder="1"/>
    <xf numFmtId="164" fontId="2" fillId="0" borderId="6" xfId="2" applyFont="1" applyBorder="1" applyAlignment="1">
      <alignment horizontal="center"/>
    </xf>
    <xf numFmtId="0" fontId="4" fillId="0" borderId="5" xfId="1" applyNumberFormat="1" applyFont="1" applyBorder="1" applyAlignment="1">
      <alignment horizontal="center" vertical="center"/>
    </xf>
    <xf numFmtId="14" fontId="5" fillId="4" borderId="5" xfId="2" applyNumberFormat="1" applyFont="1" applyFill="1" applyBorder="1" applyAlignment="1">
      <alignment horizontal="center" vertical="center"/>
    </xf>
    <xf numFmtId="0" fontId="5" fillId="2" borderId="5" xfId="2" applyNumberFormat="1" applyFont="1" applyFill="1" applyBorder="1" applyAlignment="1">
      <alignment horizontal="center" vertical="center"/>
    </xf>
    <xf numFmtId="0" fontId="2" fillId="0" borderId="6" xfId="0" applyFont="1" applyBorder="1"/>
    <xf numFmtId="14" fontId="7" fillId="4" borderId="5" xfId="2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center" vertical="center"/>
    </xf>
    <xf numFmtId="0" fontId="5" fillId="0" borderId="17" xfId="2" applyNumberFormat="1" applyFont="1" applyBorder="1" applyAlignment="1">
      <alignment horizontal="center" vertical="center"/>
    </xf>
    <xf numFmtId="167" fontId="5" fillId="0" borderId="20" xfId="2" applyNumberFormat="1" applyFont="1" applyBorder="1" applyAlignment="1">
      <alignment vertical="center"/>
    </xf>
    <xf numFmtId="167" fontId="2" fillId="0" borderId="21" xfId="2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8" xfId="2" applyNumberFormat="1" applyFont="1" applyBorder="1" applyAlignment="1">
      <alignment horizontal="center" vertical="center"/>
    </xf>
    <xf numFmtId="167" fontId="2" fillId="0" borderId="0" xfId="2" applyNumberFormat="1" applyFont="1" applyAlignment="1">
      <alignment vertical="center"/>
    </xf>
    <xf numFmtId="167" fontId="3" fillId="0" borderId="23" xfId="2" applyNumberFormat="1" applyFont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7" xfId="2" applyFont="1" applyBorder="1" applyAlignment="1">
      <alignment horizontal="center" vertical="center"/>
    </xf>
    <xf numFmtId="164" fontId="3" fillId="0" borderId="8" xfId="2" applyFont="1" applyBorder="1" applyAlignment="1">
      <alignment horizontal="center" vertical="center"/>
    </xf>
    <xf numFmtId="164" fontId="3" fillId="0" borderId="1" xfId="2" applyFont="1" applyBorder="1" applyAlignment="1">
      <alignment horizontal="center" vertical="center"/>
    </xf>
    <xf numFmtId="164" fontId="3" fillId="0" borderId="9" xfId="2" applyFont="1" applyBorder="1" applyAlignment="1">
      <alignment horizontal="center" vertical="center"/>
    </xf>
    <xf numFmtId="165" fontId="3" fillId="0" borderId="12" xfId="1" applyFont="1" applyBorder="1" applyAlignment="1">
      <alignment horizontal="left" vertical="center"/>
    </xf>
    <xf numFmtId="165" fontId="3" fillId="0" borderId="14" xfId="1" applyFont="1" applyBorder="1" applyAlignment="1">
      <alignment horizontal="left" vertical="center"/>
    </xf>
    <xf numFmtId="165" fontId="3" fillId="0" borderId="12" xfId="1" applyFont="1" applyBorder="1" applyAlignment="1">
      <alignment horizontal="center" vertical="center"/>
    </xf>
    <xf numFmtId="165" fontId="3" fillId="0" borderId="13" xfId="1" applyFont="1" applyBorder="1" applyAlignment="1">
      <alignment horizontal="center" vertical="center"/>
    </xf>
    <xf numFmtId="0" fontId="6" fillId="0" borderId="12" xfId="1" applyNumberFormat="1" applyFont="1" applyBorder="1" applyAlignment="1">
      <alignment horizontal="center" vertical="center"/>
    </xf>
    <xf numFmtId="0" fontId="6" fillId="0" borderId="14" xfId="1" applyNumberFormat="1" applyFont="1" applyBorder="1" applyAlignment="1">
      <alignment horizontal="center" vertical="center"/>
    </xf>
    <xf numFmtId="165" fontId="5" fillId="2" borderId="12" xfId="1" applyFont="1" applyFill="1" applyBorder="1" applyAlignment="1">
      <alignment horizontal="left" vertical="center"/>
    </xf>
    <xf numFmtId="165" fontId="5" fillId="2" borderId="13" xfId="1" applyFont="1" applyFill="1" applyBorder="1" applyAlignment="1">
      <alignment horizontal="left" vertical="center"/>
    </xf>
    <xf numFmtId="165" fontId="5" fillId="2" borderId="14" xfId="1" applyFont="1" applyFill="1" applyBorder="1" applyAlignment="1">
      <alignment horizontal="left" vertical="center"/>
    </xf>
    <xf numFmtId="165" fontId="4" fillId="0" borderId="12" xfId="1" applyFont="1" applyBorder="1" applyAlignment="1">
      <alignment horizontal="left" vertical="center"/>
    </xf>
    <xf numFmtId="165" fontId="4" fillId="0" borderId="14" xfId="1" applyFont="1" applyBorder="1" applyAlignment="1">
      <alignment horizontal="left" vertical="center"/>
    </xf>
    <xf numFmtId="165" fontId="5" fillId="2" borderId="12" xfId="1" applyFont="1" applyFill="1" applyBorder="1" applyAlignment="1">
      <alignment horizontal="left" vertical="center" shrinkToFit="1"/>
    </xf>
    <xf numFmtId="165" fontId="5" fillId="2" borderId="14" xfId="1" applyFont="1" applyFill="1" applyBorder="1" applyAlignment="1">
      <alignment horizontal="left" vertical="center" shrinkToFi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12" xfId="1" applyNumberFormat="1" applyFont="1" applyFill="1" applyBorder="1" applyAlignment="1">
      <alignment horizontal="left" vertical="center"/>
    </xf>
    <xf numFmtId="0" fontId="5" fillId="2" borderId="13" xfId="1" applyNumberFormat="1" applyFont="1" applyFill="1" applyBorder="1" applyAlignment="1">
      <alignment horizontal="left" vertical="center"/>
    </xf>
    <xf numFmtId="0" fontId="5" fillId="2" borderId="14" xfId="1" applyNumberFormat="1" applyFont="1" applyFill="1" applyBorder="1" applyAlignment="1">
      <alignment horizontal="left" vertical="center"/>
    </xf>
    <xf numFmtId="0" fontId="5" fillId="2" borderId="12" xfId="1" applyNumberFormat="1" applyFont="1" applyFill="1" applyBorder="1" applyAlignment="1">
      <alignment horizontal="left" vertical="center" shrinkToFit="1"/>
    </xf>
    <xf numFmtId="0" fontId="5" fillId="2" borderId="14" xfId="1" applyNumberFormat="1" applyFont="1" applyFill="1" applyBorder="1" applyAlignment="1">
      <alignment horizontal="left" vertical="center" shrinkToFit="1"/>
    </xf>
  </cellXfs>
  <cellStyles count="3">
    <cellStyle name="Millares" xfId="1" builtinId="3"/>
    <cellStyle name="Moneda [0]" xfId="2" builtinId="7"/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457201</xdr:colOff>
      <xdr:row>1</xdr:row>
      <xdr:rowOff>57151</xdr:rowOff>
    </xdr:from>
    <xdr:ext cx="2476500" cy="1228344"/>
    <xdr:pic>
      <xdr:nvPicPr>
        <xdr:cNvPr id="2" name="Imagen 1">
          <a:extLst>
            <a:ext uri="{FF2B5EF4-FFF2-40B4-BE49-F238E27FC236}">
              <a16:creationId xmlns:a16="http://schemas.microsoft.com/office/drawing/2014/main" id="{C715FE0B-112B-47AF-A535-C3985BCFE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6" y="209551"/>
          <a:ext cx="2476500" cy="12283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ACE7-D332-4F27-9962-1B0FB25D5336}">
  <sheetPr codeName="Hoja1">
    <pageSetUpPr fitToPage="1"/>
  </sheetPr>
  <dimension ref="B1:P103"/>
  <sheetViews>
    <sheetView showGridLines="0" tabSelected="1" zoomScaleNormal="100" zoomScalePageLayoutView="70" workbookViewId="0">
      <selection activeCell="H22" sqref="H22"/>
    </sheetView>
  </sheetViews>
  <sheetFormatPr baseColWidth="10" defaultRowHeight="15" x14ac:dyDescent="0.2"/>
  <cols>
    <col min="1" max="1" width="3.28515625" style="1" customWidth="1"/>
    <col min="2" max="2" width="18.7109375" style="1" customWidth="1"/>
    <col min="3" max="3" width="41.7109375" style="1" customWidth="1"/>
    <col min="4" max="9" width="6.28515625" style="2" customWidth="1"/>
    <col min="10" max="10" width="8.28515625" style="2" customWidth="1"/>
    <col min="11" max="11" width="8.7109375" style="2" customWidth="1"/>
    <col min="12" max="12" width="9.7109375" style="3" customWidth="1"/>
    <col min="13" max="13" width="14.140625" style="3" customWidth="1"/>
    <col min="14" max="14" width="19.5703125" style="3" customWidth="1"/>
    <col min="15" max="16384" width="11.42578125" style="1"/>
  </cols>
  <sheetData>
    <row r="1" spans="2:16" ht="12" customHeight="1" thickBot="1" x14ac:dyDescent="0.25"/>
    <row r="2" spans="2:16" ht="15.75" thickBot="1" x14ac:dyDescent="0.25">
      <c r="B2" s="4"/>
      <c r="C2" s="5"/>
      <c r="D2" s="6"/>
      <c r="E2" s="6"/>
      <c r="F2" s="6"/>
      <c r="G2" s="6"/>
      <c r="H2" s="6"/>
      <c r="I2" s="6"/>
      <c r="J2" s="6"/>
      <c r="K2" s="6"/>
      <c r="L2" s="7"/>
      <c r="M2" s="7"/>
      <c r="N2" s="8"/>
    </row>
    <row r="3" spans="2:16" ht="15.75" customHeight="1" thickBot="1" x14ac:dyDescent="0.25">
      <c r="B3" s="9"/>
      <c r="D3" s="10" t="s">
        <v>0</v>
      </c>
      <c r="J3" s="11" t="s">
        <v>1</v>
      </c>
      <c r="K3" s="11" t="s">
        <v>2</v>
      </c>
      <c r="L3" s="10"/>
      <c r="M3" s="12" t="s">
        <v>3</v>
      </c>
      <c r="N3" s="13"/>
    </row>
    <row r="4" spans="2:16" ht="15" customHeight="1" x14ac:dyDescent="0.2">
      <c r="B4" s="9"/>
      <c r="D4" s="10" t="s">
        <v>4</v>
      </c>
      <c r="J4" s="81">
        <v>50</v>
      </c>
      <c r="K4" s="81">
        <v>50</v>
      </c>
      <c r="L4" s="10"/>
      <c r="M4" s="81">
        <v>73</v>
      </c>
      <c r="N4" s="13"/>
    </row>
    <row r="5" spans="2:16" ht="15.75" customHeight="1" thickBot="1" x14ac:dyDescent="0.25">
      <c r="B5" s="9"/>
      <c r="D5" s="10" t="s">
        <v>5</v>
      </c>
      <c r="J5" s="82"/>
      <c r="K5" s="82"/>
      <c r="L5" s="10"/>
      <c r="M5" s="82"/>
      <c r="N5" s="13"/>
    </row>
    <row r="6" spans="2:16" ht="15.75" thickBot="1" x14ac:dyDescent="0.25">
      <c r="B6" s="9"/>
      <c r="D6" s="10" t="s">
        <v>6</v>
      </c>
      <c r="K6" s="10"/>
      <c r="L6" s="10"/>
      <c r="M6" s="10"/>
      <c r="N6" s="13"/>
    </row>
    <row r="7" spans="2:16" ht="15.75" thickBot="1" x14ac:dyDescent="0.25">
      <c r="B7" s="9"/>
      <c r="D7" s="10" t="s">
        <v>7</v>
      </c>
      <c r="K7" s="10"/>
      <c r="L7" s="14" t="s">
        <v>8</v>
      </c>
      <c r="M7" s="15" t="s">
        <v>9</v>
      </c>
      <c r="N7" s="13"/>
    </row>
    <row r="8" spans="2:16" ht="15.75" thickBot="1" x14ac:dyDescent="0.25">
      <c r="B8" s="16"/>
      <c r="C8" s="17"/>
      <c r="D8" s="18"/>
      <c r="E8" s="18"/>
      <c r="F8" s="18"/>
      <c r="G8" s="18"/>
      <c r="H8" s="18"/>
      <c r="I8" s="18"/>
      <c r="J8" s="18"/>
      <c r="K8" s="18"/>
      <c r="L8" s="19"/>
      <c r="M8" s="19"/>
      <c r="N8" s="20"/>
    </row>
    <row r="9" spans="2:16" s="24" customFormat="1" ht="21.95" customHeight="1" thickBot="1" x14ac:dyDescent="0.3">
      <c r="B9" s="21" t="s">
        <v>10</v>
      </c>
      <c r="C9" s="83" t="s">
        <v>36</v>
      </c>
      <c r="D9" s="84"/>
      <c r="E9" s="84"/>
      <c r="F9" s="84"/>
      <c r="G9" s="84"/>
      <c r="H9" s="85"/>
      <c r="I9" s="77" t="s">
        <v>11</v>
      </c>
      <c r="J9" s="78"/>
      <c r="K9" s="86" t="s">
        <v>37</v>
      </c>
      <c r="L9" s="87"/>
      <c r="M9" s="22" t="s">
        <v>10</v>
      </c>
      <c r="N9" s="23">
        <v>300</v>
      </c>
    </row>
    <row r="10" spans="2:16" ht="3.75" customHeight="1" thickBot="1" x14ac:dyDescent="0.25">
      <c r="B10" s="25"/>
      <c r="C10" s="26"/>
      <c r="D10" s="26"/>
      <c r="E10" s="26"/>
      <c r="F10" s="26"/>
      <c r="G10" s="26"/>
      <c r="H10" s="26"/>
      <c r="I10" s="26"/>
      <c r="J10" s="27"/>
      <c r="K10" s="28"/>
      <c r="L10" s="28"/>
      <c r="M10" s="29"/>
      <c r="N10" s="30"/>
    </row>
    <row r="11" spans="2:16" s="24" customFormat="1" ht="21.95" customHeight="1" thickBot="1" x14ac:dyDescent="0.3">
      <c r="B11" s="21" t="s">
        <v>12</v>
      </c>
      <c r="C11" s="74" t="s">
        <v>38</v>
      </c>
      <c r="D11" s="75"/>
      <c r="E11" s="75"/>
      <c r="F11" s="75"/>
      <c r="G11" s="75"/>
      <c r="H11" s="76"/>
      <c r="I11" s="77" t="s">
        <v>13</v>
      </c>
      <c r="J11" s="78"/>
      <c r="K11" s="79" t="s">
        <v>39</v>
      </c>
      <c r="L11" s="80"/>
      <c r="M11" s="31" t="s">
        <v>14</v>
      </c>
      <c r="N11" s="32">
        <v>46121</v>
      </c>
    </row>
    <row r="12" spans="2:16" ht="3.75" customHeight="1" thickBot="1" x14ac:dyDescent="0.25">
      <c r="B12" s="25"/>
      <c r="C12" s="26"/>
      <c r="D12" s="26"/>
      <c r="E12" s="26"/>
      <c r="F12" s="26"/>
      <c r="G12" s="26"/>
      <c r="H12" s="26"/>
      <c r="I12" s="26"/>
      <c r="J12" s="27"/>
      <c r="K12" s="28"/>
      <c r="L12" s="28"/>
      <c r="N12" s="30"/>
      <c r="P12" s="29"/>
    </row>
    <row r="13" spans="2:16" ht="22.5" customHeight="1" thickBot="1" x14ac:dyDescent="0.25">
      <c r="B13" s="21" t="s">
        <v>15</v>
      </c>
      <c r="C13" s="74"/>
      <c r="D13" s="75"/>
      <c r="E13" s="75"/>
      <c r="F13" s="75"/>
      <c r="G13" s="75"/>
      <c r="H13" s="76"/>
      <c r="I13" s="77" t="s">
        <v>16</v>
      </c>
      <c r="J13" s="78"/>
      <c r="K13" s="79" t="s">
        <v>40</v>
      </c>
      <c r="L13" s="80"/>
      <c r="M13" s="31" t="s">
        <v>17</v>
      </c>
      <c r="N13" s="33"/>
    </row>
    <row r="14" spans="2:16" ht="4.5" customHeight="1" thickBot="1" x14ac:dyDescent="0.25">
      <c r="B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34"/>
    </row>
    <row r="15" spans="2:16" ht="16.5" customHeight="1" thickBot="1" x14ac:dyDescent="0.25">
      <c r="B15" s="68" t="s">
        <v>18</v>
      </c>
      <c r="C15" s="69"/>
      <c r="D15" s="70"/>
      <c r="E15" s="71"/>
      <c r="F15" s="71"/>
      <c r="G15" s="71"/>
      <c r="H15" s="71"/>
      <c r="I15" s="71"/>
      <c r="J15" s="71"/>
      <c r="K15" s="71"/>
      <c r="L15" s="72" t="s">
        <v>19</v>
      </c>
      <c r="M15" s="73"/>
      <c r="N15" s="35"/>
    </row>
    <row r="16" spans="2:16" ht="16.5" customHeight="1" thickBot="1" x14ac:dyDescent="0.25">
      <c r="B16" s="68" t="s">
        <v>20</v>
      </c>
      <c r="C16" s="69"/>
      <c r="D16" s="70"/>
      <c r="E16" s="71"/>
      <c r="F16" s="71"/>
      <c r="G16" s="71"/>
      <c r="H16" s="71"/>
      <c r="I16" s="71"/>
      <c r="J16" s="71"/>
      <c r="K16" s="71"/>
      <c r="L16" s="72" t="s">
        <v>21</v>
      </c>
      <c r="M16" s="73"/>
      <c r="N16" s="35"/>
    </row>
    <row r="17" spans="2:14" ht="2.25" customHeight="1" thickBot="1" x14ac:dyDescent="0.25">
      <c r="B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34"/>
    </row>
    <row r="18" spans="2:14" s="10" customFormat="1" ht="16.5" customHeight="1" thickBot="1" x14ac:dyDescent="0.25">
      <c r="B18" s="58" t="s">
        <v>22</v>
      </c>
      <c r="C18" s="58" t="s">
        <v>23</v>
      </c>
      <c r="D18" s="36">
        <v>6</v>
      </c>
      <c r="E18" s="36">
        <v>8</v>
      </c>
      <c r="F18" s="36">
        <v>10</v>
      </c>
      <c r="G18" s="36">
        <v>12</v>
      </c>
      <c r="H18" s="36">
        <v>14</v>
      </c>
      <c r="I18" s="36">
        <v>16</v>
      </c>
      <c r="J18" s="60" t="s">
        <v>24</v>
      </c>
      <c r="K18" s="61"/>
      <c r="L18" s="64" t="s">
        <v>25</v>
      </c>
      <c r="M18" s="66" t="s">
        <v>26</v>
      </c>
      <c r="N18" s="64" t="s">
        <v>27</v>
      </c>
    </row>
    <row r="19" spans="2:14" s="10" customFormat="1" ht="16.5" customHeight="1" thickBot="1" x14ac:dyDescent="0.25">
      <c r="B19" s="59"/>
      <c r="C19" s="59"/>
      <c r="D19" s="11" t="s">
        <v>28</v>
      </c>
      <c r="E19" s="11" t="s">
        <v>29</v>
      </c>
      <c r="F19" s="11" t="s">
        <v>30</v>
      </c>
      <c r="G19" s="11" t="s">
        <v>31</v>
      </c>
      <c r="H19" s="11" t="s">
        <v>32</v>
      </c>
      <c r="I19" s="37" t="s">
        <v>33</v>
      </c>
      <c r="J19" s="62"/>
      <c r="K19" s="63"/>
      <c r="L19" s="65"/>
      <c r="M19" s="67"/>
      <c r="N19" s="65"/>
    </row>
    <row r="20" spans="2:14" s="44" customFormat="1" ht="24" customHeight="1" x14ac:dyDescent="0.25">
      <c r="B20" s="38">
        <v>13392</v>
      </c>
      <c r="C20" s="39" t="s">
        <v>41</v>
      </c>
      <c r="D20" s="40"/>
      <c r="E20" s="40"/>
      <c r="F20" s="40"/>
      <c r="G20" s="40"/>
      <c r="H20" s="40"/>
      <c r="I20" s="40"/>
      <c r="J20" s="56"/>
      <c r="K20" s="57"/>
      <c r="L20" s="41">
        <v>228</v>
      </c>
      <c r="M20" s="42">
        <v>14000</v>
      </c>
      <c r="N20" s="43">
        <v>3192000</v>
      </c>
    </row>
    <row r="21" spans="2:14" s="44" customFormat="1" ht="24" customHeight="1" x14ac:dyDescent="0.25">
      <c r="B21" s="38">
        <v>13202</v>
      </c>
      <c r="C21" s="39" t="s">
        <v>42</v>
      </c>
      <c r="D21" s="40"/>
      <c r="E21" s="40"/>
      <c r="F21" s="40"/>
      <c r="G21" s="40"/>
      <c r="H21" s="40"/>
      <c r="I21" s="40"/>
      <c r="J21" s="51"/>
      <c r="K21" s="52"/>
      <c r="L21" s="41">
        <v>228</v>
      </c>
      <c r="M21" s="42">
        <v>14000</v>
      </c>
      <c r="N21" s="43">
        <v>3192000</v>
      </c>
    </row>
    <row r="22" spans="2:14" s="44" customFormat="1" ht="24" customHeight="1" x14ac:dyDescent="0.25">
      <c r="B22" s="38">
        <v>13367</v>
      </c>
      <c r="C22" s="39" t="s">
        <v>43</v>
      </c>
      <c r="D22" s="40"/>
      <c r="E22" s="40"/>
      <c r="F22" s="40"/>
      <c r="G22" s="40"/>
      <c r="H22" s="40"/>
      <c r="I22" s="40"/>
      <c r="J22" s="51"/>
      <c r="K22" s="52"/>
      <c r="L22" s="41">
        <v>228</v>
      </c>
      <c r="M22" s="42">
        <v>14000</v>
      </c>
      <c r="N22" s="43">
        <v>3192000</v>
      </c>
    </row>
    <row r="23" spans="2:14" s="44" customFormat="1" ht="24" customHeight="1" x14ac:dyDescent="0.25">
      <c r="B23" s="38">
        <v>13374</v>
      </c>
      <c r="C23" s="39" t="s">
        <v>44</v>
      </c>
      <c r="D23" s="40"/>
      <c r="E23" s="40"/>
      <c r="F23" s="40"/>
      <c r="G23" s="40"/>
      <c r="H23" s="40"/>
      <c r="I23" s="40"/>
      <c r="J23" s="51"/>
      <c r="K23" s="52"/>
      <c r="L23" s="41">
        <v>228</v>
      </c>
      <c r="M23" s="42">
        <v>14000</v>
      </c>
      <c r="N23" s="43">
        <v>3192000</v>
      </c>
    </row>
    <row r="24" spans="2:14" s="44" customFormat="1" ht="24" customHeight="1" x14ac:dyDescent="0.25">
      <c r="B24" s="38">
        <v>13431</v>
      </c>
      <c r="C24" s="39" t="s">
        <v>45</v>
      </c>
      <c r="D24" s="40"/>
      <c r="E24" s="40"/>
      <c r="F24" s="40"/>
      <c r="G24" s="40"/>
      <c r="H24" s="40"/>
      <c r="I24" s="40"/>
      <c r="J24" s="51"/>
      <c r="K24" s="52"/>
      <c r="L24" s="41">
        <v>228</v>
      </c>
      <c r="M24" s="42">
        <v>14000</v>
      </c>
      <c r="N24" s="43">
        <v>3192000</v>
      </c>
    </row>
    <row r="25" spans="2:14" s="44" customFormat="1" ht="24" customHeight="1" x14ac:dyDescent="0.25">
      <c r="B25" s="38">
        <v>13343</v>
      </c>
      <c r="C25" s="39" t="s">
        <v>46</v>
      </c>
      <c r="D25" s="40"/>
      <c r="E25" s="40"/>
      <c r="F25" s="40"/>
      <c r="G25" s="40"/>
      <c r="H25" s="40"/>
      <c r="I25" s="40"/>
      <c r="J25" s="51"/>
      <c r="K25" s="52"/>
      <c r="L25" s="41">
        <v>228</v>
      </c>
      <c r="M25" s="42">
        <v>14000</v>
      </c>
      <c r="N25" s="43">
        <v>3192000</v>
      </c>
    </row>
    <row r="26" spans="2:14" s="44" customFormat="1" ht="24" customHeight="1" x14ac:dyDescent="0.25">
      <c r="B26" s="38">
        <v>13385</v>
      </c>
      <c r="C26" s="39" t="s">
        <v>47</v>
      </c>
      <c r="D26" s="40"/>
      <c r="E26" s="40"/>
      <c r="F26" s="40"/>
      <c r="G26" s="40"/>
      <c r="H26" s="40"/>
      <c r="I26" s="40"/>
      <c r="J26" s="51"/>
      <c r="K26" s="52"/>
      <c r="L26" s="41">
        <v>228</v>
      </c>
      <c r="M26" s="42">
        <v>14000</v>
      </c>
      <c r="N26" s="43">
        <v>3192000</v>
      </c>
    </row>
    <row r="27" spans="2:14" s="44" customFormat="1" ht="24" customHeight="1" x14ac:dyDescent="0.25">
      <c r="B27" s="38">
        <v>13373</v>
      </c>
      <c r="C27" s="39" t="s">
        <v>48</v>
      </c>
      <c r="D27" s="40"/>
      <c r="E27" s="40"/>
      <c r="F27" s="40"/>
      <c r="G27" s="40"/>
      <c r="H27" s="40"/>
      <c r="I27" s="40"/>
      <c r="J27" s="51"/>
      <c r="K27" s="52"/>
      <c r="L27" s="41">
        <v>228</v>
      </c>
      <c r="M27" s="42">
        <v>16000</v>
      </c>
      <c r="N27" s="43">
        <v>3648000</v>
      </c>
    </row>
    <row r="28" spans="2:14" s="44" customFormat="1" ht="24" customHeight="1" x14ac:dyDescent="0.25">
      <c r="B28" s="38">
        <v>13397</v>
      </c>
      <c r="C28" s="39" t="s">
        <v>49</v>
      </c>
      <c r="D28" s="40"/>
      <c r="E28" s="40"/>
      <c r="F28" s="40"/>
      <c r="G28" s="40"/>
      <c r="H28" s="40"/>
      <c r="I28" s="40"/>
      <c r="J28" s="51"/>
      <c r="K28" s="52"/>
      <c r="L28" s="41">
        <v>228</v>
      </c>
      <c r="M28" s="42">
        <v>16000</v>
      </c>
      <c r="N28" s="43">
        <v>3648000</v>
      </c>
    </row>
    <row r="29" spans="2:14" s="44" customFormat="1" ht="24" customHeight="1" x14ac:dyDescent="0.25">
      <c r="B29" s="38">
        <v>13399</v>
      </c>
      <c r="C29" s="39" t="s">
        <v>50</v>
      </c>
      <c r="D29" s="40"/>
      <c r="E29" s="40"/>
      <c r="F29" s="40"/>
      <c r="G29" s="40"/>
      <c r="H29" s="40"/>
      <c r="I29" s="40"/>
      <c r="J29" s="51"/>
      <c r="K29" s="52"/>
      <c r="L29" s="41">
        <v>228</v>
      </c>
      <c r="M29" s="42">
        <v>16000</v>
      </c>
      <c r="N29" s="43">
        <v>3648000</v>
      </c>
    </row>
    <row r="30" spans="2:14" s="44" customFormat="1" ht="24" customHeight="1" x14ac:dyDescent="0.25">
      <c r="B30" s="38">
        <v>13293</v>
      </c>
      <c r="C30" s="39" t="s">
        <v>51</v>
      </c>
      <c r="D30" s="40"/>
      <c r="E30" s="40"/>
      <c r="F30" s="40"/>
      <c r="G30" s="40"/>
      <c r="H30" s="40"/>
      <c r="I30" s="40"/>
      <c r="J30" s="51"/>
      <c r="K30" s="52"/>
      <c r="L30" s="41">
        <v>228</v>
      </c>
      <c r="M30" s="42">
        <v>16000</v>
      </c>
      <c r="N30" s="43">
        <v>3648000</v>
      </c>
    </row>
    <row r="31" spans="2:14" s="44" customFormat="1" ht="24" customHeight="1" x14ac:dyDescent="0.25">
      <c r="B31" s="38">
        <v>13370</v>
      </c>
      <c r="C31" s="39" t="s">
        <v>52</v>
      </c>
      <c r="D31" s="40"/>
      <c r="E31" s="40"/>
      <c r="F31" s="40"/>
      <c r="G31" s="40"/>
      <c r="H31" s="40"/>
      <c r="I31" s="40"/>
      <c r="J31" s="51"/>
      <c r="K31" s="52"/>
      <c r="L31" s="41">
        <v>228</v>
      </c>
      <c r="M31" s="42">
        <v>16000</v>
      </c>
      <c r="N31" s="43">
        <v>3648000</v>
      </c>
    </row>
    <row r="32" spans="2:14" s="44" customFormat="1" ht="24" customHeight="1" x14ac:dyDescent="0.25">
      <c r="B32" s="38">
        <v>13289</v>
      </c>
      <c r="C32" s="39" t="s">
        <v>53</v>
      </c>
      <c r="D32" s="40"/>
      <c r="E32" s="40"/>
      <c r="F32" s="40"/>
      <c r="G32" s="40"/>
      <c r="H32" s="40"/>
      <c r="I32" s="40"/>
      <c r="J32" s="51"/>
      <c r="K32" s="52"/>
      <c r="L32" s="41">
        <v>228</v>
      </c>
      <c r="M32" s="42">
        <v>16000</v>
      </c>
      <c r="N32" s="43">
        <v>3648000</v>
      </c>
    </row>
    <row r="33" spans="2:14" s="44" customFormat="1" ht="24" customHeight="1" x14ac:dyDescent="0.25">
      <c r="B33" s="38">
        <v>12909</v>
      </c>
      <c r="C33" s="39" t="s">
        <v>54</v>
      </c>
      <c r="D33" s="40"/>
      <c r="E33" s="40"/>
      <c r="F33" s="40"/>
      <c r="G33" s="40"/>
      <c r="H33" s="40"/>
      <c r="I33" s="40"/>
      <c r="J33" s="51"/>
      <c r="K33" s="52"/>
      <c r="L33" s="41">
        <v>228</v>
      </c>
      <c r="M33" s="42">
        <v>16000</v>
      </c>
      <c r="N33" s="43">
        <v>3648000</v>
      </c>
    </row>
    <row r="34" spans="2:14" s="44" customFormat="1" ht="24" customHeight="1" x14ac:dyDescent="0.25">
      <c r="B34" s="38">
        <v>13413</v>
      </c>
      <c r="C34" s="39" t="s">
        <v>34</v>
      </c>
      <c r="D34" s="40"/>
      <c r="E34" s="40"/>
      <c r="F34" s="40"/>
      <c r="G34" s="40"/>
      <c r="H34" s="40"/>
      <c r="I34" s="40"/>
      <c r="J34" s="51"/>
      <c r="K34" s="52"/>
      <c r="L34" s="41">
        <v>228</v>
      </c>
      <c r="M34" s="42">
        <v>16000</v>
      </c>
      <c r="N34" s="43">
        <v>3648000</v>
      </c>
    </row>
    <row r="35" spans="2:14" s="44" customFormat="1" ht="24" customHeight="1" x14ac:dyDescent="0.25">
      <c r="B35" s="38">
        <v>13357</v>
      </c>
      <c r="C35" s="39" t="s">
        <v>55</v>
      </c>
      <c r="D35" s="40"/>
      <c r="E35" s="40"/>
      <c r="F35" s="40"/>
      <c r="G35" s="40"/>
      <c r="H35" s="40"/>
      <c r="I35" s="40"/>
      <c r="J35" s="51"/>
      <c r="K35" s="52"/>
      <c r="L35" s="41">
        <v>228</v>
      </c>
      <c r="M35" s="42">
        <v>16000</v>
      </c>
      <c r="N35" s="43">
        <v>3648000</v>
      </c>
    </row>
    <row r="36" spans="2:14" s="44" customFormat="1" ht="24" customHeight="1" x14ac:dyDescent="0.25">
      <c r="B36" s="38">
        <v>13381</v>
      </c>
      <c r="C36" s="39" t="s">
        <v>56</v>
      </c>
      <c r="D36" s="40"/>
      <c r="E36" s="40"/>
      <c r="F36" s="40"/>
      <c r="G36" s="40"/>
      <c r="H36" s="40"/>
      <c r="I36" s="40"/>
      <c r="J36" s="51"/>
      <c r="K36" s="52"/>
      <c r="L36" s="41">
        <v>228</v>
      </c>
      <c r="M36" s="42">
        <v>16000</v>
      </c>
      <c r="N36" s="43">
        <v>3648000</v>
      </c>
    </row>
    <row r="37" spans="2:14" s="44" customFormat="1" ht="24" customHeight="1" x14ac:dyDescent="0.25">
      <c r="B37" s="38">
        <v>13369</v>
      </c>
      <c r="C37" s="39" t="s">
        <v>57</v>
      </c>
      <c r="D37" s="40"/>
      <c r="E37" s="40"/>
      <c r="F37" s="40"/>
      <c r="G37" s="40"/>
      <c r="H37" s="40"/>
      <c r="I37" s="40"/>
      <c r="J37" s="51"/>
      <c r="K37" s="52"/>
      <c r="L37" s="41">
        <v>228</v>
      </c>
      <c r="M37" s="42">
        <v>16000</v>
      </c>
      <c r="N37" s="43">
        <v>3648000</v>
      </c>
    </row>
    <row r="38" spans="2:14" s="44" customFormat="1" ht="24" customHeight="1" x14ac:dyDescent="0.25">
      <c r="B38" s="38">
        <v>13283</v>
      </c>
      <c r="C38" s="39" t="s">
        <v>58</v>
      </c>
      <c r="D38" s="40"/>
      <c r="E38" s="40"/>
      <c r="F38" s="40"/>
      <c r="G38" s="40"/>
      <c r="H38" s="40"/>
      <c r="I38" s="40"/>
      <c r="J38" s="51"/>
      <c r="K38" s="52"/>
      <c r="L38" s="41">
        <v>228</v>
      </c>
      <c r="M38" s="42">
        <v>16000</v>
      </c>
      <c r="N38" s="43">
        <v>3648000</v>
      </c>
    </row>
    <row r="39" spans="2:14" s="44" customFormat="1" ht="24" customHeight="1" x14ac:dyDescent="0.25">
      <c r="B39" s="38">
        <v>13380</v>
      </c>
      <c r="C39" s="39" t="s">
        <v>59</v>
      </c>
      <c r="D39" s="40"/>
      <c r="E39" s="40"/>
      <c r="F39" s="40"/>
      <c r="G39" s="40"/>
      <c r="H39" s="40"/>
      <c r="I39" s="40"/>
      <c r="J39" s="51"/>
      <c r="K39" s="52"/>
      <c r="L39" s="41">
        <v>72</v>
      </c>
      <c r="M39" s="42">
        <v>21000</v>
      </c>
      <c r="N39" s="43">
        <v>1512000</v>
      </c>
    </row>
    <row r="40" spans="2:14" s="44" customFormat="1" ht="24" customHeight="1" x14ac:dyDescent="0.25">
      <c r="B40" s="38">
        <v>13393</v>
      </c>
      <c r="C40" s="39" t="s">
        <v>60</v>
      </c>
      <c r="D40" s="40"/>
      <c r="E40" s="40"/>
      <c r="F40" s="40"/>
      <c r="G40" s="40"/>
      <c r="H40" s="40"/>
      <c r="I40" s="40"/>
      <c r="J40" s="51"/>
      <c r="K40" s="52"/>
      <c r="L40" s="41">
        <v>72</v>
      </c>
      <c r="M40" s="42">
        <v>21000</v>
      </c>
      <c r="N40" s="43">
        <v>1512000</v>
      </c>
    </row>
    <row r="41" spans="2:14" s="44" customFormat="1" ht="24" customHeight="1" x14ac:dyDescent="0.25">
      <c r="B41" s="38">
        <v>13434</v>
      </c>
      <c r="C41" s="39" t="s">
        <v>61</v>
      </c>
      <c r="D41" s="40"/>
      <c r="E41" s="40"/>
      <c r="F41" s="40"/>
      <c r="G41" s="40"/>
      <c r="H41" s="40"/>
      <c r="I41" s="40"/>
      <c r="J41" s="51"/>
      <c r="K41" s="52"/>
      <c r="L41" s="41">
        <v>72</v>
      </c>
      <c r="M41" s="42">
        <v>21000</v>
      </c>
      <c r="N41" s="43">
        <v>1512000</v>
      </c>
    </row>
    <row r="42" spans="2:14" s="44" customFormat="1" ht="24" customHeight="1" x14ac:dyDescent="0.25">
      <c r="B42" s="38">
        <v>13377</v>
      </c>
      <c r="C42" s="39" t="s">
        <v>62</v>
      </c>
      <c r="D42" s="40"/>
      <c r="E42" s="40"/>
      <c r="F42" s="40"/>
      <c r="G42" s="40"/>
      <c r="H42" s="40"/>
      <c r="I42" s="40"/>
      <c r="J42" s="51"/>
      <c r="K42" s="52"/>
      <c r="L42" s="41">
        <v>72</v>
      </c>
      <c r="M42" s="42">
        <v>21000</v>
      </c>
      <c r="N42" s="43">
        <v>1512000</v>
      </c>
    </row>
    <row r="43" spans="2:14" s="44" customFormat="1" ht="24" customHeight="1" x14ac:dyDescent="0.25">
      <c r="B43" s="38">
        <v>13363</v>
      </c>
      <c r="C43" s="39" t="s">
        <v>63</v>
      </c>
      <c r="D43" s="40"/>
      <c r="E43" s="40"/>
      <c r="F43" s="40"/>
      <c r="G43" s="40"/>
      <c r="H43" s="40"/>
      <c r="I43" s="40"/>
      <c r="J43" s="51"/>
      <c r="K43" s="52"/>
      <c r="L43" s="41">
        <v>72</v>
      </c>
      <c r="M43" s="42">
        <v>21000</v>
      </c>
      <c r="N43" s="43">
        <v>1512000</v>
      </c>
    </row>
    <row r="44" spans="2:14" s="44" customFormat="1" ht="24" customHeight="1" x14ac:dyDescent="0.25">
      <c r="B44" s="38">
        <v>13358</v>
      </c>
      <c r="C44" s="39" t="s">
        <v>64</v>
      </c>
      <c r="D44" s="40"/>
      <c r="E44" s="40"/>
      <c r="F44" s="40"/>
      <c r="G44" s="40"/>
      <c r="H44" s="40"/>
      <c r="I44" s="40"/>
      <c r="J44" s="51"/>
      <c r="K44" s="52"/>
      <c r="L44" s="41">
        <v>72</v>
      </c>
      <c r="M44" s="42">
        <v>24000</v>
      </c>
      <c r="N44" s="43">
        <v>1728000</v>
      </c>
    </row>
    <row r="45" spans="2:14" s="44" customFormat="1" ht="24" customHeight="1" x14ac:dyDescent="0.25">
      <c r="B45" s="38">
        <v>13386</v>
      </c>
      <c r="C45" s="39" t="s">
        <v>65</v>
      </c>
      <c r="D45" s="40"/>
      <c r="E45" s="40"/>
      <c r="F45" s="40"/>
      <c r="G45" s="40"/>
      <c r="H45" s="40"/>
      <c r="I45" s="40"/>
      <c r="J45" s="51"/>
      <c r="K45" s="52"/>
      <c r="L45" s="41">
        <v>72</v>
      </c>
      <c r="M45" s="42">
        <v>24000</v>
      </c>
      <c r="N45" s="43">
        <v>1728000</v>
      </c>
    </row>
    <row r="46" spans="2:14" s="44" customFormat="1" ht="24" customHeight="1" x14ac:dyDescent="0.25">
      <c r="B46" s="38">
        <v>13340</v>
      </c>
      <c r="C46" s="39" t="s">
        <v>66</v>
      </c>
      <c r="D46" s="40"/>
      <c r="E46" s="40"/>
      <c r="F46" s="40"/>
      <c r="G46" s="40"/>
      <c r="H46" s="40"/>
      <c r="I46" s="40"/>
      <c r="J46" s="51"/>
      <c r="K46" s="52"/>
      <c r="L46" s="41">
        <v>72</v>
      </c>
      <c r="M46" s="42">
        <v>25000</v>
      </c>
      <c r="N46" s="43">
        <v>1800000</v>
      </c>
    </row>
    <row r="47" spans="2:14" s="44" customFormat="1" ht="24" customHeight="1" x14ac:dyDescent="0.25">
      <c r="B47" s="38">
        <v>13352</v>
      </c>
      <c r="C47" s="39" t="s">
        <v>67</v>
      </c>
      <c r="D47" s="40"/>
      <c r="E47" s="40"/>
      <c r="F47" s="40"/>
      <c r="G47" s="40"/>
      <c r="H47" s="40"/>
      <c r="I47" s="40"/>
      <c r="J47" s="51"/>
      <c r="K47" s="52"/>
      <c r="L47" s="41">
        <v>72</v>
      </c>
      <c r="M47" s="42">
        <v>28000</v>
      </c>
      <c r="N47" s="43">
        <v>2016000</v>
      </c>
    </row>
    <row r="48" spans="2:14" s="44" customFormat="1" ht="24" customHeight="1" x14ac:dyDescent="0.25">
      <c r="B48" s="38">
        <v>13336</v>
      </c>
      <c r="C48" s="39" t="s">
        <v>68</v>
      </c>
      <c r="D48" s="40"/>
      <c r="E48" s="40"/>
      <c r="F48" s="40"/>
      <c r="G48" s="40"/>
      <c r="H48" s="40"/>
      <c r="I48" s="40"/>
      <c r="J48" s="51"/>
      <c r="K48" s="52"/>
      <c r="L48" s="41">
        <v>72</v>
      </c>
      <c r="M48" s="42">
        <v>28000</v>
      </c>
      <c r="N48" s="43">
        <v>2016000</v>
      </c>
    </row>
    <row r="49" spans="2:14" s="44" customFormat="1" ht="24" customHeight="1" x14ac:dyDescent="0.25">
      <c r="B49" s="38">
        <v>13355</v>
      </c>
      <c r="C49" s="39" t="s">
        <v>69</v>
      </c>
      <c r="D49" s="40"/>
      <c r="E49" s="40"/>
      <c r="F49" s="40"/>
      <c r="G49" s="40"/>
      <c r="H49" s="40"/>
      <c r="I49" s="40"/>
      <c r="J49" s="51"/>
      <c r="K49" s="52"/>
      <c r="L49" s="41">
        <v>72</v>
      </c>
      <c r="M49" s="42">
        <v>28000</v>
      </c>
      <c r="N49" s="43">
        <v>2016000</v>
      </c>
    </row>
    <row r="50" spans="2:14" s="44" customFormat="1" ht="24" customHeight="1" x14ac:dyDescent="0.25">
      <c r="B50" s="38">
        <v>13310</v>
      </c>
      <c r="C50" s="39" t="s">
        <v>70</v>
      </c>
      <c r="D50" s="40"/>
      <c r="E50" s="40"/>
      <c r="F50" s="40"/>
      <c r="G50" s="40"/>
      <c r="H50" s="40"/>
      <c r="I50" s="40"/>
      <c r="J50" s="51"/>
      <c r="K50" s="52"/>
      <c r="L50" s="41">
        <v>72</v>
      </c>
      <c r="M50" s="42">
        <v>28000</v>
      </c>
      <c r="N50" s="43">
        <v>2016000</v>
      </c>
    </row>
    <row r="51" spans="2:14" s="44" customFormat="1" ht="24" customHeight="1" x14ac:dyDescent="0.25">
      <c r="B51" s="38">
        <v>13412</v>
      </c>
      <c r="C51" s="39" t="s">
        <v>71</v>
      </c>
      <c r="D51" s="40"/>
      <c r="E51" s="40"/>
      <c r="F51" s="40"/>
      <c r="G51" s="40"/>
      <c r="H51" s="40"/>
      <c r="I51" s="40"/>
      <c r="J51" s="51"/>
      <c r="K51" s="52"/>
      <c r="L51" s="41">
        <v>72</v>
      </c>
      <c r="M51" s="42">
        <v>28000</v>
      </c>
      <c r="N51" s="43">
        <v>2016000</v>
      </c>
    </row>
    <row r="52" spans="2:14" s="44" customFormat="1" ht="24" customHeight="1" x14ac:dyDescent="0.25">
      <c r="B52" s="38">
        <v>13424</v>
      </c>
      <c r="C52" s="39" t="s">
        <v>72</v>
      </c>
      <c r="D52" s="40"/>
      <c r="E52" s="40"/>
      <c r="F52" s="40"/>
      <c r="G52" s="40"/>
      <c r="H52" s="40"/>
      <c r="I52" s="40"/>
      <c r="J52" s="51"/>
      <c r="K52" s="52"/>
      <c r="L52" s="41">
        <v>72</v>
      </c>
      <c r="M52" s="42">
        <v>28000</v>
      </c>
      <c r="N52" s="43">
        <v>2016000</v>
      </c>
    </row>
    <row r="53" spans="2:14" s="44" customFormat="1" ht="24" customHeight="1" x14ac:dyDescent="0.25">
      <c r="B53" s="38">
        <v>13401</v>
      </c>
      <c r="C53" s="39" t="s">
        <v>73</v>
      </c>
      <c r="D53" s="40"/>
      <c r="E53" s="40"/>
      <c r="F53" s="40"/>
      <c r="G53" s="40"/>
      <c r="H53" s="40"/>
      <c r="I53" s="40"/>
      <c r="J53" s="51"/>
      <c r="K53" s="52"/>
      <c r="L53" s="41">
        <v>72</v>
      </c>
      <c r="M53" s="42">
        <v>28000</v>
      </c>
      <c r="N53" s="43">
        <v>2016000</v>
      </c>
    </row>
    <row r="54" spans="2:14" s="44" customFormat="1" ht="24" customHeight="1" x14ac:dyDescent="0.25">
      <c r="B54" s="38">
        <v>13375</v>
      </c>
      <c r="C54" s="39" t="s">
        <v>74</v>
      </c>
      <c r="D54" s="40"/>
      <c r="E54" s="40"/>
      <c r="F54" s="40"/>
      <c r="G54" s="40"/>
      <c r="H54" s="40"/>
      <c r="I54" s="40"/>
      <c r="J54" s="51"/>
      <c r="K54" s="52"/>
      <c r="L54" s="41">
        <v>72</v>
      </c>
      <c r="M54" s="42">
        <v>25000</v>
      </c>
      <c r="N54" s="43">
        <v>1800000</v>
      </c>
    </row>
    <row r="55" spans="2:14" s="44" customFormat="1" ht="24" customHeight="1" x14ac:dyDescent="0.25">
      <c r="B55" s="38">
        <v>13402</v>
      </c>
      <c r="C55" s="39" t="s">
        <v>75</v>
      </c>
      <c r="D55" s="40"/>
      <c r="E55" s="40"/>
      <c r="F55" s="40"/>
      <c r="G55" s="40"/>
      <c r="H55" s="40"/>
      <c r="I55" s="40"/>
      <c r="J55" s="51"/>
      <c r="K55" s="52"/>
      <c r="L55" s="41">
        <v>72</v>
      </c>
      <c r="M55" s="42">
        <v>28000</v>
      </c>
      <c r="N55" s="43">
        <v>2016000</v>
      </c>
    </row>
    <row r="56" spans="2:14" s="44" customFormat="1" ht="24" customHeight="1" x14ac:dyDescent="0.25">
      <c r="B56" s="38">
        <v>13172</v>
      </c>
      <c r="C56" s="39" t="s">
        <v>76</v>
      </c>
      <c r="D56" s="40"/>
      <c r="E56" s="40"/>
      <c r="F56" s="40"/>
      <c r="G56" s="40"/>
      <c r="H56" s="40"/>
      <c r="I56" s="40"/>
      <c r="J56" s="51"/>
      <c r="K56" s="52"/>
      <c r="L56" s="41">
        <v>72</v>
      </c>
      <c r="M56" s="42">
        <v>28000</v>
      </c>
      <c r="N56" s="43">
        <v>2016000</v>
      </c>
    </row>
    <row r="57" spans="2:14" s="44" customFormat="1" ht="24" customHeight="1" x14ac:dyDescent="0.25">
      <c r="B57" s="38">
        <v>13330</v>
      </c>
      <c r="C57" s="39" t="s">
        <v>77</v>
      </c>
      <c r="D57" s="40"/>
      <c r="E57" s="40"/>
      <c r="F57" s="40"/>
      <c r="G57" s="40"/>
      <c r="H57" s="40"/>
      <c r="I57" s="40"/>
      <c r="J57" s="51"/>
      <c r="K57" s="52"/>
      <c r="L57" s="41">
        <v>72</v>
      </c>
      <c r="M57" s="42">
        <v>28000</v>
      </c>
      <c r="N57" s="43">
        <v>2016000</v>
      </c>
    </row>
    <row r="58" spans="2:14" s="44" customFormat="1" ht="24" customHeight="1" x14ac:dyDescent="0.25">
      <c r="B58" s="38">
        <v>13312</v>
      </c>
      <c r="C58" s="39" t="s">
        <v>78</v>
      </c>
      <c r="D58" s="40"/>
      <c r="E58" s="40"/>
      <c r="F58" s="40"/>
      <c r="G58" s="40"/>
      <c r="H58" s="40"/>
      <c r="I58" s="40"/>
      <c r="J58" s="51"/>
      <c r="K58" s="52"/>
      <c r="L58" s="41">
        <v>72</v>
      </c>
      <c r="M58" s="42">
        <v>28000</v>
      </c>
      <c r="N58" s="43">
        <v>2016000</v>
      </c>
    </row>
    <row r="59" spans="2:14" s="44" customFormat="1" ht="24" customHeight="1" x14ac:dyDescent="0.25">
      <c r="B59" s="38">
        <v>13407</v>
      </c>
      <c r="C59" s="39" t="s">
        <v>79</v>
      </c>
      <c r="D59" s="40"/>
      <c r="E59" s="40"/>
      <c r="F59" s="40"/>
      <c r="G59" s="40"/>
      <c r="H59" s="40"/>
      <c r="I59" s="40"/>
      <c r="J59" s="51"/>
      <c r="K59" s="52"/>
      <c r="L59" s="41">
        <v>72</v>
      </c>
      <c r="M59" s="42">
        <v>28000</v>
      </c>
      <c r="N59" s="43">
        <v>2016000</v>
      </c>
    </row>
    <row r="60" spans="2:14" s="44" customFormat="1" ht="24" customHeight="1" x14ac:dyDescent="0.25">
      <c r="B60" s="38">
        <v>13442</v>
      </c>
      <c r="C60" s="39" t="s">
        <v>80</v>
      </c>
      <c r="D60" s="40"/>
      <c r="E60" s="40"/>
      <c r="F60" s="40"/>
      <c r="G60" s="40"/>
      <c r="H60" s="40"/>
      <c r="I60" s="40"/>
      <c r="J60" s="51"/>
      <c r="K60" s="52"/>
      <c r="L60" s="41">
        <v>48</v>
      </c>
      <c r="M60" s="42">
        <v>35000</v>
      </c>
      <c r="N60" s="43">
        <v>1680000</v>
      </c>
    </row>
    <row r="61" spans="2:14" s="44" customFormat="1" ht="24" customHeight="1" x14ac:dyDescent="0.25">
      <c r="B61" s="38">
        <v>13379</v>
      </c>
      <c r="C61" s="39" t="s">
        <v>81</v>
      </c>
      <c r="D61" s="40"/>
      <c r="E61" s="40"/>
      <c r="F61" s="40"/>
      <c r="G61" s="40"/>
      <c r="H61" s="40"/>
      <c r="I61" s="40"/>
      <c r="J61" s="51"/>
      <c r="K61" s="52"/>
      <c r="L61" s="41">
        <v>48</v>
      </c>
      <c r="M61" s="42">
        <v>35000</v>
      </c>
      <c r="N61" s="43">
        <v>1680000</v>
      </c>
    </row>
    <row r="62" spans="2:14" s="44" customFormat="1" ht="24" customHeight="1" x14ac:dyDescent="0.25">
      <c r="B62" s="38">
        <v>13394</v>
      </c>
      <c r="C62" s="39" t="s">
        <v>82</v>
      </c>
      <c r="D62" s="40"/>
      <c r="E62" s="40"/>
      <c r="F62" s="40"/>
      <c r="G62" s="40"/>
      <c r="H62" s="40"/>
      <c r="I62" s="40"/>
      <c r="J62" s="51"/>
      <c r="K62" s="52"/>
      <c r="L62" s="41">
        <v>48</v>
      </c>
      <c r="M62" s="42">
        <v>35000</v>
      </c>
      <c r="N62" s="43">
        <v>1680000</v>
      </c>
    </row>
    <row r="63" spans="2:14" s="44" customFormat="1" ht="24" customHeight="1" x14ac:dyDescent="0.25">
      <c r="B63" s="38">
        <v>13432</v>
      </c>
      <c r="C63" s="39" t="s">
        <v>83</v>
      </c>
      <c r="D63" s="40"/>
      <c r="E63" s="40"/>
      <c r="F63" s="40"/>
      <c r="G63" s="40"/>
      <c r="H63" s="40"/>
      <c r="I63" s="40"/>
      <c r="J63" s="51"/>
      <c r="K63" s="52"/>
      <c r="L63" s="41">
        <v>48</v>
      </c>
      <c r="M63" s="42">
        <v>32000</v>
      </c>
      <c r="N63" s="43">
        <v>1536000</v>
      </c>
    </row>
    <row r="64" spans="2:14" s="44" customFormat="1" ht="24" customHeight="1" x14ac:dyDescent="0.25">
      <c r="B64" s="38">
        <v>13400</v>
      </c>
      <c r="C64" s="39" t="s">
        <v>84</v>
      </c>
      <c r="D64" s="40"/>
      <c r="E64" s="40"/>
      <c r="F64" s="40"/>
      <c r="G64" s="40"/>
      <c r="H64" s="40"/>
      <c r="I64" s="40"/>
      <c r="J64" s="51"/>
      <c r="K64" s="52"/>
      <c r="L64" s="41">
        <v>48</v>
      </c>
      <c r="M64" s="42">
        <v>32000</v>
      </c>
      <c r="N64" s="43">
        <v>1536000</v>
      </c>
    </row>
    <row r="65" spans="2:14" s="44" customFormat="1" ht="24" customHeight="1" x14ac:dyDescent="0.25">
      <c r="B65" s="38">
        <v>13323</v>
      </c>
      <c r="C65" s="39" t="s">
        <v>85</v>
      </c>
      <c r="D65" s="40"/>
      <c r="E65" s="40"/>
      <c r="F65" s="40"/>
      <c r="G65" s="40"/>
      <c r="H65" s="40"/>
      <c r="I65" s="40"/>
      <c r="J65" s="51"/>
      <c r="K65" s="52"/>
      <c r="L65" s="41">
        <v>48</v>
      </c>
      <c r="M65" s="42">
        <v>32000</v>
      </c>
      <c r="N65" s="43">
        <v>1536000</v>
      </c>
    </row>
    <row r="66" spans="2:14" s="44" customFormat="1" ht="24" customHeight="1" x14ac:dyDescent="0.25">
      <c r="B66" s="38">
        <v>13364</v>
      </c>
      <c r="C66" s="39" t="s">
        <v>86</v>
      </c>
      <c r="D66" s="40"/>
      <c r="E66" s="40"/>
      <c r="F66" s="40"/>
      <c r="G66" s="40"/>
      <c r="H66" s="40"/>
      <c r="I66" s="40"/>
      <c r="J66" s="51"/>
      <c r="K66" s="52"/>
      <c r="L66" s="41">
        <v>48</v>
      </c>
      <c r="M66" s="42">
        <v>32000</v>
      </c>
      <c r="N66" s="43">
        <v>1536000</v>
      </c>
    </row>
    <row r="67" spans="2:14" s="44" customFormat="1" ht="24" customHeight="1" x14ac:dyDescent="0.25">
      <c r="B67" s="38">
        <v>13350</v>
      </c>
      <c r="C67" s="39" t="s">
        <v>87</v>
      </c>
      <c r="D67" s="40"/>
      <c r="E67" s="40"/>
      <c r="F67" s="40"/>
      <c r="G67" s="40"/>
      <c r="H67" s="40"/>
      <c r="I67" s="40"/>
      <c r="J67" s="51"/>
      <c r="K67" s="52"/>
      <c r="L67" s="41">
        <v>48</v>
      </c>
      <c r="M67" s="42">
        <v>35000</v>
      </c>
      <c r="N67" s="43">
        <v>1680000</v>
      </c>
    </row>
    <row r="68" spans="2:14" s="44" customFormat="1" ht="24" customHeight="1" x14ac:dyDescent="0.25">
      <c r="B68" s="38">
        <v>13411</v>
      </c>
      <c r="C68" s="39" t="s">
        <v>88</v>
      </c>
      <c r="D68" s="40"/>
      <c r="E68" s="40"/>
      <c r="F68" s="40"/>
      <c r="G68" s="40"/>
      <c r="H68" s="40"/>
      <c r="I68" s="40"/>
      <c r="J68" s="51"/>
      <c r="K68" s="52"/>
      <c r="L68" s="41">
        <v>48</v>
      </c>
      <c r="M68" s="42">
        <v>32000</v>
      </c>
      <c r="N68" s="43">
        <v>1536000</v>
      </c>
    </row>
    <row r="69" spans="2:14" s="44" customFormat="1" ht="24" customHeight="1" x14ac:dyDescent="0.25">
      <c r="B69" s="38">
        <v>13327</v>
      </c>
      <c r="C69" s="39" t="s">
        <v>89</v>
      </c>
      <c r="D69" s="40"/>
      <c r="E69" s="40"/>
      <c r="F69" s="40"/>
      <c r="G69" s="40"/>
      <c r="H69" s="40"/>
      <c r="I69" s="40"/>
      <c r="J69" s="51"/>
      <c r="K69" s="52"/>
      <c r="L69" s="41">
        <v>48</v>
      </c>
      <c r="M69" s="42">
        <v>32000</v>
      </c>
      <c r="N69" s="43">
        <v>1536000</v>
      </c>
    </row>
    <row r="70" spans="2:14" s="44" customFormat="1" ht="24" customHeight="1" x14ac:dyDescent="0.25">
      <c r="B70" s="38">
        <v>13354</v>
      </c>
      <c r="C70" s="39" t="s">
        <v>90</v>
      </c>
      <c r="D70" s="40"/>
      <c r="E70" s="40"/>
      <c r="F70" s="40"/>
      <c r="G70" s="40"/>
      <c r="H70" s="40"/>
      <c r="I70" s="40"/>
      <c r="J70" s="51"/>
      <c r="K70" s="52"/>
      <c r="L70" s="41">
        <v>48</v>
      </c>
      <c r="M70" s="42">
        <v>32000</v>
      </c>
      <c r="N70" s="43">
        <v>1536000</v>
      </c>
    </row>
    <row r="71" spans="2:14" s="44" customFormat="1" ht="24" customHeight="1" x14ac:dyDescent="0.25">
      <c r="B71" s="38">
        <v>13337</v>
      </c>
      <c r="C71" s="39" t="s">
        <v>91</v>
      </c>
      <c r="D71" s="40"/>
      <c r="E71" s="40"/>
      <c r="F71" s="40"/>
      <c r="G71" s="40"/>
      <c r="H71" s="40"/>
      <c r="I71" s="40"/>
      <c r="J71" s="51"/>
      <c r="K71" s="52"/>
      <c r="L71" s="41">
        <v>48</v>
      </c>
      <c r="M71" s="42">
        <v>32000</v>
      </c>
      <c r="N71" s="43">
        <v>1536000</v>
      </c>
    </row>
    <row r="72" spans="2:14" s="44" customFormat="1" ht="24" customHeight="1" x14ac:dyDescent="0.25">
      <c r="B72" s="38">
        <v>13406</v>
      </c>
      <c r="C72" s="39" t="s">
        <v>92</v>
      </c>
      <c r="D72" s="40"/>
      <c r="E72" s="40"/>
      <c r="F72" s="40"/>
      <c r="G72" s="40"/>
      <c r="H72" s="40"/>
      <c r="I72" s="40"/>
      <c r="J72" s="51"/>
      <c r="K72" s="52"/>
      <c r="L72" s="41">
        <v>48</v>
      </c>
      <c r="M72" s="42">
        <v>32000</v>
      </c>
      <c r="N72" s="43">
        <v>1536000</v>
      </c>
    </row>
    <row r="73" spans="2:14" s="44" customFormat="1" ht="24" customHeight="1" x14ac:dyDescent="0.25">
      <c r="B73" s="38">
        <v>13349</v>
      </c>
      <c r="C73" s="39" t="s">
        <v>93</v>
      </c>
      <c r="D73" s="40"/>
      <c r="E73" s="40"/>
      <c r="F73" s="40"/>
      <c r="G73" s="40"/>
      <c r="H73" s="40"/>
      <c r="I73" s="40"/>
      <c r="J73" s="51"/>
      <c r="K73" s="52"/>
      <c r="L73" s="41">
        <v>48</v>
      </c>
      <c r="M73" s="42">
        <v>35000</v>
      </c>
      <c r="N73" s="43">
        <v>1680000</v>
      </c>
    </row>
    <row r="74" spans="2:14" s="44" customFormat="1" ht="24" customHeight="1" x14ac:dyDescent="0.25">
      <c r="B74" s="38">
        <v>13443</v>
      </c>
      <c r="C74" s="39" t="s">
        <v>94</v>
      </c>
      <c r="D74" s="40"/>
      <c r="E74" s="40"/>
      <c r="F74" s="40"/>
      <c r="G74" s="40"/>
      <c r="H74" s="40"/>
      <c r="I74" s="40"/>
      <c r="J74" s="51"/>
      <c r="K74" s="52"/>
      <c r="L74" s="41">
        <v>48</v>
      </c>
      <c r="M74" s="42">
        <v>32000</v>
      </c>
      <c r="N74" s="43">
        <v>1536000</v>
      </c>
    </row>
    <row r="75" spans="2:14" s="44" customFormat="1" ht="24" customHeight="1" x14ac:dyDescent="0.25">
      <c r="B75" s="38">
        <v>13409</v>
      </c>
      <c r="C75" s="39" t="s">
        <v>95</v>
      </c>
      <c r="D75" s="40"/>
      <c r="E75" s="40"/>
      <c r="F75" s="40"/>
      <c r="G75" s="40"/>
      <c r="H75" s="40"/>
      <c r="I75" s="40"/>
      <c r="J75" s="51"/>
      <c r="K75" s="52"/>
      <c r="L75" s="41">
        <v>48</v>
      </c>
      <c r="M75" s="42">
        <v>32000</v>
      </c>
      <c r="N75" s="43">
        <v>1536000</v>
      </c>
    </row>
    <row r="76" spans="2:14" s="44" customFormat="1" ht="24" customHeight="1" x14ac:dyDescent="0.25">
      <c r="B76" s="38">
        <v>13425</v>
      </c>
      <c r="C76" s="39" t="s">
        <v>96</v>
      </c>
      <c r="D76" s="40"/>
      <c r="E76" s="40"/>
      <c r="F76" s="40"/>
      <c r="G76" s="40"/>
      <c r="H76" s="40"/>
      <c r="I76" s="40"/>
      <c r="J76" s="51"/>
      <c r="K76" s="52"/>
      <c r="L76" s="41">
        <v>48</v>
      </c>
      <c r="M76" s="42">
        <v>32000</v>
      </c>
      <c r="N76" s="43">
        <v>1536000</v>
      </c>
    </row>
    <row r="77" spans="2:14" s="44" customFormat="1" ht="24" customHeight="1" x14ac:dyDescent="0.25">
      <c r="B77" s="38">
        <v>13408</v>
      </c>
      <c r="C77" s="39" t="s">
        <v>97</v>
      </c>
      <c r="D77" s="40"/>
      <c r="E77" s="40"/>
      <c r="F77" s="40"/>
      <c r="G77" s="40"/>
      <c r="H77" s="40"/>
      <c r="I77" s="40"/>
      <c r="J77" s="51"/>
      <c r="K77" s="52"/>
      <c r="L77" s="41">
        <v>48</v>
      </c>
      <c r="M77" s="42">
        <v>32000</v>
      </c>
      <c r="N77" s="43">
        <v>1536000</v>
      </c>
    </row>
    <row r="78" spans="2:14" s="44" customFormat="1" ht="24" customHeight="1" x14ac:dyDescent="0.25">
      <c r="B78" s="38">
        <v>13365</v>
      </c>
      <c r="C78" s="39" t="s">
        <v>98</v>
      </c>
      <c r="D78" s="40"/>
      <c r="E78" s="40"/>
      <c r="F78" s="40"/>
      <c r="G78" s="40"/>
      <c r="H78" s="40"/>
      <c r="I78" s="40"/>
      <c r="J78" s="51"/>
      <c r="K78" s="52"/>
      <c r="L78" s="41">
        <v>48</v>
      </c>
      <c r="M78" s="42">
        <v>35000</v>
      </c>
      <c r="N78" s="43">
        <v>1680000</v>
      </c>
    </row>
    <row r="79" spans="2:14" s="44" customFormat="1" ht="24" customHeight="1" x14ac:dyDescent="0.25">
      <c r="B79" s="38">
        <v>13105</v>
      </c>
      <c r="C79" s="39" t="s">
        <v>99</v>
      </c>
      <c r="D79" s="40"/>
      <c r="E79" s="40"/>
      <c r="F79" s="40"/>
      <c r="G79" s="40"/>
      <c r="H79" s="40"/>
      <c r="I79" s="40"/>
      <c r="J79" s="51"/>
      <c r="K79" s="52"/>
      <c r="L79" s="41">
        <v>48</v>
      </c>
      <c r="M79" s="42">
        <v>35000</v>
      </c>
      <c r="N79" s="43">
        <v>1680000</v>
      </c>
    </row>
    <row r="80" spans="2:14" s="44" customFormat="1" ht="24" customHeight="1" x14ac:dyDescent="0.25">
      <c r="B80" s="38">
        <v>13418</v>
      </c>
      <c r="C80" s="39" t="s">
        <v>100</v>
      </c>
      <c r="D80" s="40"/>
      <c r="E80" s="40"/>
      <c r="F80" s="40"/>
      <c r="G80" s="40"/>
      <c r="H80" s="40"/>
      <c r="I80" s="40"/>
      <c r="J80" s="51"/>
      <c r="K80" s="52"/>
      <c r="L80" s="41">
        <v>48</v>
      </c>
      <c r="M80" s="42">
        <v>38000</v>
      </c>
      <c r="N80" s="43">
        <v>1824000</v>
      </c>
    </row>
    <row r="81" spans="2:14" s="44" customFormat="1" ht="24" customHeight="1" x14ac:dyDescent="0.25">
      <c r="B81" s="38">
        <v>13326</v>
      </c>
      <c r="C81" s="39" t="s">
        <v>101</v>
      </c>
      <c r="D81" s="40"/>
      <c r="E81" s="40"/>
      <c r="F81" s="40"/>
      <c r="G81" s="40"/>
      <c r="H81" s="40"/>
      <c r="I81" s="40"/>
      <c r="J81" s="51"/>
      <c r="K81" s="52"/>
      <c r="L81" s="41">
        <v>48</v>
      </c>
      <c r="M81" s="42">
        <v>39900</v>
      </c>
      <c r="N81" s="43">
        <v>1915200</v>
      </c>
    </row>
    <row r="82" spans="2:14" s="44" customFormat="1" ht="24" customHeight="1" x14ac:dyDescent="0.25">
      <c r="B82" s="38">
        <v>13338</v>
      </c>
      <c r="C82" s="39" t="s">
        <v>102</v>
      </c>
      <c r="D82" s="40"/>
      <c r="E82" s="40"/>
      <c r="F82" s="40"/>
      <c r="G82" s="40"/>
      <c r="H82" s="40"/>
      <c r="I82" s="40"/>
      <c r="J82" s="51"/>
      <c r="K82" s="52"/>
      <c r="L82" s="41">
        <v>48</v>
      </c>
      <c r="M82" s="42">
        <v>42000</v>
      </c>
      <c r="N82" s="43">
        <v>2016000</v>
      </c>
    </row>
    <row r="83" spans="2:14" s="44" customFormat="1" ht="24" customHeight="1" x14ac:dyDescent="0.25">
      <c r="B83" s="38">
        <v>13353</v>
      </c>
      <c r="C83" s="39" t="s">
        <v>103</v>
      </c>
      <c r="D83" s="40"/>
      <c r="E83" s="40"/>
      <c r="F83" s="40"/>
      <c r="G83" s="40"/>
      <c r="H83" s="40"/>
      <c r="I83" s="40"/>
      <c r="J83" s="51"/>
      <c r="K83" s="52"/>
      <c r="L83" s="41">
        <v>48</v>
      </c>
      <c r="M83" s="42">
        <v>42000</v>
      </c>
      <c r="N83" s="43">
        <v>2016000</v>
      </c>
    </row>
    <row r="84" spans="2:14" s="44" customFormat="1" ht="24" customHeight="1" x14ac:dyDescent="0.25">
      <c r="B84" s="38">
        <v>13422</v>
      </c>
      <c r="C84" s="39" t="s">
        <v>104</v>
      </c>
      <c r="D84" s="40"/>
      <c r="E84" s="40"/>
      <c r="F84" s="40"/>
      <c r="G84" s="40"/>
      <c r="H84" s="40"/>
      <c r="I84" s="40"/>
      <c r="J84" s="51"/>
      <c r="K84" s="52"/>
      <c r="L84" s="41">
        <v>48</v>
      </c>
      <c r="M84" s="42">
        <v>48000</v>
      </c>
      <c r="N84" s="43">
        <v>2304000</v>
      </c>
    </row>
    <row r="85" spans="2:14" s="44" customFormat="1" ht="24" customHeight="1" x14ac:dyDescent="0.25">
      <c r="B85" s="38">
        <v>13421</v>
      </c>
      <c r="C85" s="39" t="s">
        <v>105</v>
      </c>
      <c r="D85" s="40"/>
      <c r="E85" s="40"/>
      <c r="F85" s="40"/>
      <c r="G85" s="40"/>
      <c r="H85" s="40"/>
      <c r="I85" s="40"/>
      <c r="J85" s="51"/>
      <c r="K85" s="52"/>
      <c r="L85" s="41">
        <v>48</v>
      </c>
      <c r="M85" s="42">
        <v>45000</v>
      </c>
      <c r="N85" s="43">
        <v>2160000</v>
      </c>
    </row>
    <row r="86" spans="2:14" s="44" customFormat="1" ht="24" customHeight="1" x14ac:dyDescent="0.25">
      <c r="B86" s="38">
        <v>13428</v>
      </c>
      <c r="C86" s="39" t="s">
        <v>106</v>
      </c>
      <c r="D86" s="40"/>
      <c r="E86" s="40"/>
      <c r="F86" s="40"/>
      <c r="G86" s="40"/>
      <c r="H86" s="40"/>
      <c r="I86" s="40"/>
      <c r="J86" s="51"/>
      <c r="K86" s="52"/>
      <c r="L86" s="41">
        <v>48</v>
      </c>
      <c r="M86" s="42">
        <v>48000</v>
      </c>
      <c r="N86" s="43">
        <v>2304000</v>
      </c>
    </row>
    <row r="87" spans="2:14" s="44" customFormat="1" ht="24" customHeight="1" x14ac:dyDescent="0.25">
      <c r="B87" s="38">
        <v>13372</v>
      </c>
      <c r="C87" s="39" t="s">
        <v>107</v>
      </c>
      <c r="D87" s="40"/>
      <c r="E87" s="40"/>
      <c r="F87" s="40"/>
      <c r="G87" s="40"/>
      <c r="H87" s="40"/>
      <c r="I87" s="40"/>
      <c r="J87" s="51"/>
      <c r="K87" s="52"/>
      <c r="L87" s="41">
        <v>72</v>
      </c>
      <c r="M87" s="42">
        <v>38000</v>
      </c>
      <c r="N87" s="43">
        <v>2736000</v>
      </c>
    </row>
    <row r="88" spans="2:14" s="44" customFormat="1" ht="24" customHeight="1" x14ac:dyDescent="0.25">
      <c r="B88" s="38">
        <v>13447</v>
      </c>
      <c r="C88" s="39" t="s">
        <v>108</v>
      </c>
      <c r="D88" s="40"/>
      <c r="E88" s="40"/>
      <c r="F88" s="40"/>
      <c r="G88" s="40"/>
      <c r="H88" s="40"/>
      <c r="I88" s="40"/>
      <c r="J88" s="51"/>
      <c r="K88" s="52"/>
      <c r="L88" s="41">
        <v>84</v>
      </c>
      <c r="M88" s="42">
        <v>35000</v>
      </c>
      <c r="N88" s="43">
        <v>2940000</v>
      </c>
    </row>
    <row r="89" spans="2:14" s="44" customFormat="1" ht="24" customHeight="1" x14ac:dyDescent="0.25">
      <c r="B89" s="38">
        <v>13446</v>
      </c>
      <c r="C89" s="39" t="s">
        <v>109</v>
      </c>
      <c r="D89" s="40"/>
      <c r="E89" s="40"/>
      <c r="F89" s="40"/>
      <c r="G89" s="40"/>
      <c r="H89" s="40"/>
      <c r="I89" s="40"/>
      <c r="J89" s="51"/>
      <c r="K89" s="52"/>
      <c r="L89" s="41">
        <v>84</v>
      </c>
      <c r="M89" s="42">
        <v>35000</v>
      </c>
      <c r="N89" s="43">
        <v>2940000</v>
      </c>
    </row>
    <row r="90" spans="2:14" s="44" customFormat="1" ht="24" customHeight="1" x14ac:dyDescent="0.25">
      <c r="B90" s="38">
        <v>13445</v>
      </c>
      <c r="C90" s="39" t="s">
        <v>110</v>
      </c>
      <c r="D90" s="40"/>
      <c r="E90" s="40"/>
      <c r="F90" s="40"/>
      <c r="G90" s="40"/>
      <c r="H90" s="40"/>
      <c r="I90" s="40"/>
      <c r="J90" s="51"/>
      <c r="K90" s="52"/>
      <c r="L90" s="41">
        <v>84</v>
      </c>
      <c r="M90" s="42">
        <v>42000</v>
      </c>
      <c r="N90" s="43">
        <v>3528000</v>
      </c>
    </row>
    <row r="91" spans="2:14" s="44" customFormat="1" ht="24" customHeight="1" x14ac:dyDescent="0.25">
      <c r="B91" s="38">
        <v>13410</v>
      </c>
      <c r="C91" s="39" t="s">
        <v>111</v>
      </c>
      <c r="D91" s="40"/>
      <c r="E91" s="40"/>
      <c r="F91" s="40"/>
      <c r="G91" s="40"/>
      <c r="H91" s="40"/>
      <c r="I91" s="40"/>
      <c r="J91" s="51"/>
      <c r="K91" s="52"/>
      <c r="L91" s="41">
        <v>84</v>
      </c>
      <c r="M91" s="42">
        <v>42000</v>
      </c>
      <c r="N91" s="43">
        <v>3528000</v>
      </c>
    </row>
    <row r="92" spans="2:14" s="44" customFormat="1" ht="24" customHeight="1" x14ac:dyDescent="0.25">
      <c r="B92" s="38">
        <v>13109</v>
      </c>
      <c r="C92" s="39" t="s">
        <v>112</v>
      </c>
      <c r="D92" s="40"/>
      <c r="E92" s="40"/>
      <c r="F92" s="40"/>
      <c r="G92" s="40"/>
      <c r="H92" s="40"/>
      <c r="I92" s="40"/>
      <c r="J92" s="51"/>
      <c r="K92" s="52"/>
      <c r="L92" s="41">
        <v>84</v>
      </c>
      <c r="M92" s="42">
        <v>29900</v>
      </c>
      <c r="N92" s="43">
        <v>2511600</v>
      </c>
    </row>
    <row r="93" spans="2:14" s="44" customFormat="1" ht="24" customHeight="1" x14ac:dyDescent="0.25">
      <c r="B93" s="38">
        <v>13416</v>
      </c>
      <c r="C93" s="39" t="s">
        <v>113</v>
      </c>
      <c r="D93" s="40"/>
      <c r="E93" s="40"/>
      <c r="F93" s="40"/>
      <c r="G93" s="40"/>
      <c r="H93" s="40"/>
      <c r="I93" s="40"/>
      <c r="J93" s="51"/>
      <c r="K93" s="52"/>
      <c r="L93" s="41">
        <v>84</v>
      </c>
      <c r="M93" s="42">
        <v>38000</v>
      </c>
      <c r="N93" s="43">
        <f>M93*L93</f>
        <v>3192000</v>
      </c>
    </row>
    <row r="94" spans="2:14" s="44" customFormat="1" ht="24" customHeight="1" x14ac:dyDescent="0.25">
      <c r="B94" s="38">
        <v>13441</v>
      </c>
      <c r="C94" s="39" t="s">
        <v>114</v>
      </c>
      <c r="D94" s="40"/>
      <c r="E94" s="40"/>
      <c r="F94" s="40"/>
      <c r="G94" s="40"/>
      <c r="H94" s="40"/>
      <c r="I94" s="40"/>
      <c r="J94" s="51"/>
      <c r="K94" s="52"/>
      <c r="L94" s="41">
        <v>84</v>
      </c>
      <c r="M94" s="42">
        <v>38000</v>
      </c>
      <c r="N94" s="43">
        <f t="shared" ref="N94:N102" si="0">M94*L94</f>
        <v>3192000</v>
      </c>
    </row>
    <row r="95" spans="2:14" s="44" customFormat="1" ht="24" customHeight="1" x14ac:dyDescent="0.25">
      <c r="B95" s="38">
        <v>13427</v>
      </c>
      <c r="C95" s="39" t="s">
        <v>115</v>
      </c>
      <c r="D95" s="40"/>
      <c r="E95" s="40"/>
      <c r="F95" s="40"/>
      <c r="G95" s="40"/>
      <c r="H95" s="40"/>
      <c r="I95" s="40"/>
      <c r="J95" s="51"/>
      <c r="K95" s="52"/>
      <c r="L95" s="41">
        <v>84</v>
      </c>
      <c r="M95" s="42">
        <v>35000</v>
      </c>
      <c r="N95" s="43">
        <f t="shared" si="0"/>
        <v>2940000</v>
      </c>
    </row>
    <row r="96" spans="2:14" s="44" customFormat="1" ht="24" customHeight="1" x14ac:dyDescent="0.25">
      <c r="B96" s="38">
        <v>13403</v>
      </c>
      <c r="C96" s="39" t="s">
        <v>116</v>
      </c>
      <c r="D96" s="40"/>
      <c r="E96" s="40"/>
      <c r="F96" s="40"/>
      <c r="G96" s="40"/>
      <c r="H96" s="40"/>
      <c r="I96" s="40"/>
      <c r="J96" s="51"/>
      <c r="K96" s="52"/>
      <c r="L96" s="41">
        <v>84</v>
      </c>
      <c r="M96" s="42">
        <v>35000</v>
      </c>
      <c r="N96" s="43">
        <f t="shared" si="0"/>
        <v>2940000</v>
      </c>
    </row>
    <row r="97" spans="2:14" s="44" customFormat="1" ht="24" customHeight="1" x14ac:dyDescent="0.25">
      <c r="B97" s="38">
        <v>13433</v>
      </c>
      <c r="C97" s="39" t="s">
        <v>117</v>
      </c>
      <c r="D97" s="40"/>
      <c r="E97" s="40"/>
      <c r="F97" s="40"/>
      <c r="G97" s="40"/>
      <c r="H97" s="40"/>
      <c r="I97" s="40"/>
      <c r="J97" s="51"/>
      <c r="K97" s="52"/>
      <c r="L97" s="41">
        <v>84</v>
      </c>
      <c r="M97" s="42">
        <v>42000</v>
      </c>
      <c r="N97" s="43">
        <f t="shared" si="0"/>
        <v>3528000</v>
      </c>
    </row>
    <row r="98" spans="2:14" s="44" customFormat="1" ht="24" customHeight="1" x14ac:dyDescent="0.25">
      <c r="B98" s="38">
        <v>13448</v>
      </c>
      <c r="C98" s="39" t="s">
        <v>118</v>
      </c>
      <c r="D98" s="40"/>
      <c r="E98" s="40"/>
      <c r="F98" s="40"/>
      <c r="G98" s="40"/>
      <c r="H98" s="40"/>
      <c r="I98" s="40"/>
      <c r="J98" s="51"/>
      <c r="K98" s="52"/>
      <c r="L98" s="41">
        <v>84</v>
      </c>
      <c r="M98" s="42">
        <v>42000</v>
      </c>
      <c r="N98" s="43">
        <f t="shared" si="0"/>
        <v>3528000</v>
      </c>
    </row>
    <row r="99" spans="2:14" s="44" customFormat="1" ht="24" customHeight="1" x14ac:dyDescent="0.25">
      <c r="B99" s="38">
        <v>13449</v>
      </c>
      <c r="C99" s="39" t="s">
        <v>119</v>
      </c>
      <c r="D99" s="40"/>
      <c r="E99" s="40"/>
      <c r="F99" s="40"/>
      <c r="G99" s="40"/>
      <c r="H99" s="40"/>
      <c r="I99" s="40"/>
      <c r="J99" s="45"/>
      <c r="K99" s="46"/>
      <c r="L99" s="41">
        <v>84</v>
      </c>
      <c r="M99" s="42">
        <v>32000</v>
      </c>
      <c r="N99" s="43">
        <f t="shared" si="0"/>
        <v>2688000</v>
      </c>
    </row>
    <row r="100" spans="2:14" s="44" customFormat="1" ht="24" customHeight="1" x14ac:dyDescent="0.25">
      <c r="B100" s="38">
        <v>13366</v>
      </c>
      <c r="C100" s="39" t="s">
        <v>120</v>
      </c>
      <c r="D100" s="40"/>
      <c r="E100" s="40"/>
      <c r="F100" s="40"/>
      <c r="G100" s="40"/>
      <c r="H100" s="40"/>
      <c r="I100" s="40"/>
      <c r="J100" s="45"/>
      <c r="K100" s="46"/>
      <c r="L100" s="41">
        <v>84</v>
      </c>
      <c r="M100" s="42">
        <v>38000</v>
      </c>
      <c r="N100" s="43">
        <f t="shared" si="0"/>
        <v>3192000</v>
      </c>
    </row>
    <row r="101" spans="2:14" s="44" customFormat="1" ht="24" customHeight="1" x14ac:dyDescent="0.25">
      <c r="B101" s="38">
        <v>13430</v>
      </c>
      <c r="C101" s="39" t="s">
        <v>121</v>
      </c>
      <c r="D101" s="40"/>
      <c r="E101" s="40"/>
      <c r="F101" s="40"/>
      <c r="G101" s="40"/>
      <c r="H101" s="40"/>
      <c r="I101" s="40"/>
      <c r="J101" s="51"/>
      <c r="K101" s="52"/>
      <c r="L101" s="41">
        <v>84</v>
      </c>
      <c r="M101" s="42">
        <v>38000</v>
      </c>
      <c r="N101" s="43">
        <f t="shared" si="0"/>
        <v>3192000</v>
      </c>
    </row>
    <row r="102" spans="2:14" s="44" customFormat="1" ht="24" customHeight="1" x14ac:dyDescent="0.25">
      <c r="B102" s="38">
        <v>13429</v>
      </c>
      <c r="C102" s="39" t="s">
        <v>122</v>
      </c>
      <c r="D102" s="40"/>
      <c r="E102" s="40"/>
      <c r="F102" s="40"/>
      <c r="G102" s="40"/>
      <c r="H102" s="40"/>
      <c r="I102" s="40"/>
      <c r="J102" s="51"/>
      <c r="K102" s="52"/>
      <c r="L102" s="41">
        <v>84</v>
      </c>
      <c r="M102" s="42">
        <v>42000</v>
      </c>
      <c r="N102" s="43">
        <f t="shared" si="0"/>
        <v>3528000</v>
      </c>
    </row>
    <row r="103" spans="2:14" s="44" customFormat="1" ht="24" customHeight="1" thickBot="1" x14ac:dyDescent="0.3">
      <c r="D103" s="47"/>
      <c r="E103" s="47"/>
      <c r="F103" s="47"/>
      <c r="G103" s="47"/>
      <c r="H103" s="53" t="s">
        <v>35</v>
      </c>
      <c r="I103" s="54"/>
      <c r="J103" s="54"/>
      <c r="K103" s="55"/>
      <c r="L103" s="48">
        <f>SUM(L20:L102)</f>
        <v>8472</v>
      </c>
      <c r="M103" s="49"/>
      <c r="N103" s="50">
        <f>SUM(N20:N102)</f>
        <v>201298800</v>
      </c>
    </row>
  </sheetData>
  <autoFilter ref="B18:N19" xr:uid="{00000000-0009-0000-0000-000000000000}">
    <filterColumn colId="8" showButton="0"/>
  </autoFilter>
  <mergeCells count="106">
    <mergeCell ref="C11:H11"/>
    <mergeCell ref="I11:J11"/>
    <mergeCell ref="K11:L11"/>
    <mergeCell ref="C13:H13"/>
    <mergeCell ref="I13:J13"/>
    <mergeCell ref="K13:L13"/>
    <mergeCell ref="J4:J5"/>
    <mergeCell ref="K4:K5"/>
    <mergeCell ref="M4:M5"/>
    <mergeCell ref="C9:H9"/>
    <mergeCell ref="I9:J9"/>
    <mergeCell ref="K9:L9"/>
    <mergeCell ref="B18:B19"/>
    <mergeCell ref="C18:C19"/>
    <mergeCell ref="J18:K19"/>
    <mergeCell ref="L18:L19"/>
    <mergeCell ref="M18:M19"/>
    <mergeCell ref="N18:N19"/>
    <mergeCell ref="B15:C15"/>
    <mergeCell ref="D15:K15"/>
    <mergeCell ref="L15:M15"/>
    <mergeCell ref="B16:C16"/>
    <mergeCell ref="D16:K16"/>
    <mergeCell ref="L16:M16"/>
    <mergeCell ref="J26:K26"/>
    <mergeCell ref="J27:K27"/>
    <mergeCell ref="J28:K28"/>
    <mergeCell ref="J29:K29"/>
    <mergeCell ref="J30:K30"/>
    <mergeCell ref="J31:K31"/>
    <mergeCell ref="J20:K20"/>
    <mergeCell ref="J21:K21"/>
    <mergeCell ref="J22:K22"/>
    <mergeCell ref="J23:K23"/>
    <mergeCell ref="J24:K24"/>
    <mergeCell ref="J25:K25"/>
    <mergeCell ref="J38:K38"/>
    <mergeCell ref="J39:K39"/>
    <mergeCell ref="J40:K40"/>
    <mergeCell ref="J41:K41"/>
    <mergeCell ref="J42:K42"/>
    <mergeCell ref="J43:K43"/>
    <mergeCell ref="J32:K32"/>
    <mergeCell ref="J33:K33"/>
    <mergeCell ref="J34:K34"/>
    <mergeCell ref="J35:K35"/>
    <mergeCell ref="J36:K36"/>
    <mergeCell ref="J37:K37"/>
    <mergeCell ref="J50:K50"/>
    <mergeCell ref="J51:K51"/>
    <mergeCell ref="J52:K52"/>
    <mergeCell ref="J53:K53"/>
    <mergeCell ref="J54:K54"/>
    <mergeCell ref="J55:K55"/>
    <mergeCell ref="J44:K44"/>
    <mergeCell ref="J45:K45"/>
    <mergeCell ref="J46:K46"/>
    <mergeCell ref="J47:K47"/>
    <mergeCell ref="J48:K48"/>
    <mergeCell ref="J49:K49"/>
    <mergeCell ref="J62:K62"/>
    <mergeCell ref="J63:K63"/>
    <mergeCell ref="J64:K64"/>
    <mergeCell ref="J65:K65"/>
    <mergeCell ref="J66:K66"/>
    <mergeCell ref="J67:K67"/>
    <mergeCell ref="J56:K56"/>
    <mergeCell ref="J57:K57"/>
    <mergeCell ref="J58:K58"/>
    <mergeCell ref="J59:K59"/>
    <mergeCell ref="J60:K60"/>
    <mergeCell ref="J61:K61"/>
    <mergeCell ref="J74:K74"/>
    <mergeCell ref="J75:K75"/>
    <mergeCell ref="J76:K76"/>
    <mergeCell ref="J77:K77"/>
    <mergeCell ref="J78:K78"/>
    <mergeCell ref="J79:K79"/>
    <mergeCell ref="J68:K68"/>
    <mergeCell ref="J69:K69"/>
    <mergeCell ref="J70:K70"/>
    <mergeCell ref="J71:K71"/>
    <mergeCell ref="J72:K72"/>
    <mergeCell ref="J73:K73"/>
    <mergeCell ref="J86:K86"/>
    <mergeCell ref="J87:K87"/>
    <mergeCell ref="J88:K88"/>
    <mergeCell ref="J89:K89"/>
    <mergeCell ref="J90:K90"/>
    <mergeCell ref="J91:K91"/>
    <mergeCell ref="J80:K80"/>
    <mergeCell ref="J81:K81"/>
    <mergeCell ref="J82:K82"/>
    <mergeCell ref="J83:K83"/>
    <mergeCell ref="J84:K84"/>
    <mergeCell ref="J85:K85"/>
    <mergeCell ref="J98:K98"/>
    <mergeCell ref="J101:K101"/>
    <mergeCell ref="J102:K102"/>
    <mergeCell ref="H103:K103"/>
    <mergeCell ref="J92:K92"/>
    <mergeCell ref="J93:K93"/>
    <mergeCell ref="J94:K94"/>
    <mergeCell ref="J95:K95"/>
    <mergeCell ref="J96:K96"/>
    <mergeCell ref="J97:K97"/>
  </mergeCells>
  <conditionalFormatting sqref="B20:B97">
    <cfRule type="expression" dxfId="1" priority="2">
      <formula>COUNTIF($B$20:$B$102, B20)&gt;1</formula>
    </cfRule>
  </conditionalFormatting>
  <conditionalFormatting sqref="B98:B102">
    <cfRule type="expression" dxfId="0" priority="1">
      <formula>COUNTIF($B$25:$B$110, B98)&gt;1</formula>
    </cfRule>
  </conditionalFormatting>
  <pageMargins left="0.19685039370078741" right="0.23622047244094491" top="0.74" bottom="0" header="0.31496062992125984" footer="0.31496062992125984"/>
  <pageSetup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3670-79A9-436B-9F94-9140EED2F2B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MEDIA NARANJA</vt:lpstr>
      <vt:lpstr>Hoja1</vt:lpstr>
      <vt:lpstr>'MEDIA NARANJA'!Área_de_impresión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AUXILIAR2</dc:creator>
  <cp:lastModifiedBy>AUXILIAR2</cp:lastModifiedBy>
  <dcterms:created xsi:type="dcterms:W3CDTF">2026-09-04T18:21:12Z</dcterms:created>
  <dcterms:modified xsi:type="dcterms:W3CDTF">2026-09-04T18:25:13Z</dcterms:modified>
</cp:coreProperties>
</file>