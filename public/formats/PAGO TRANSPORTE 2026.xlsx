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f\OneDrive\Desktop\"/>
    </mc:Choice>
  </mc:AlternateContent>
  <xr:revisionPtr revIDLastSave="0" documentId="13_ncr:1_{623DEC12-9CB2-4627-9F6A-0F99075849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LBERTO " sheetId="7" r:id="rId1"/>
  </sheets>
  <definedNames>
    <definedName name="_xlnm._FilterDatabase" localSheetId="0" hidden="1">'GILBERTO '!#REF!</definedName>
    <definedName name="_xlnm.Print_Area" localSheetId="0">'GILBERTO 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7" l="1"/>
  <c r="D20" i="7"/>
  <c r="D21" i="7"/>
  <c r="D14" i="7"/>
  <c r="D28" i="7" l="1"/>
</calcChain>
</file>

<file path=xl/sharedStrings.xml><?xml version="1.0" encoding="utf-8"?>
<sst xmlns="http://schemas.openxmlformats.org/spreadsheetml/2006/main" count="82" uniqueCount="54">
  <si>
    <t>CLAUDIA ARISMENDI</t>
  </si>
  <si>
    <t>ELVIA MUÑOZ</t>
  </si>
  <si>
    <t>JOSEFINA PULGARIN</t>
  </si>
  <si>
    <t>RETEX</t>
  </si>
  <si>
    <t>GILBERTO</t>
  </si>
  <si>
    <t>CLARA HERRERA</t>
  </si>
  <si>
    <t>PEDRO LLANEZ</t>
  </si>
  <si>
    <t xml:space="preserve">FECHA </t>
  </si>
  <si>
    <t>DETALLE</t>
  </si>
  <si>
    <t xml:space="preserve">VALOR </t>
  </si>
  <si>
    <t xml:space="preserve">2 VUELTAS </t>
  </si>
  <si>
    <t>MARGARITA VASQUEZ</t>
  </si>
  <si>
    <t>MARCELA GRACEANO</t>
  </si>
  <si>
    <t>YAQUELINE INSUMOS</t>
  </si>
  <si>
    <t xml:space="preserve">RECOGER </t>
  </si>
  <si>
    <t xml:space="preserve">LLEVAR </t>
  </si>
  <si>
    <t>RAMON CANO TINTORERIA</t>
  </si>
  <si>
    <t>HERNAN LONDOÑO</t>
  </si>
  <si>
    <t>1 VUELTA</t>
  </si>
  <si>
    <t xml:space="preserve">1 VUELTA </t>
  </si>
  <si>
    <t xml:space="preserve">RECOGER Y LLEVAR </t>
  </si>
  <si>
    <t xml:space="preserve">2 VUELTA </t>
  </si>
  <si>
    <t xml:space="preserve">MARIA TEREZA QUICENO </t>
  </si>
  <si>
    <t xml:space="preserve">ELIANA ZAPATA </t>
  </si>
  <si>
    <t>2 VUELTA</t>
  </si>
  <si>
    <t xml:space="preserve">LUZ FANEIRA / ANA ISABEL  </t>
  </si>
  <si>
    <t>MARIU CUBILLO</t>
  </si>
  <si>
    <t>1 VUELTA_LOTE GRANDE</t>
  </si>
  <si>
    <t>LLEVAR REF 12909</t>
  </si>
  <si>
    <t>RECOGER</t>
  </si>
  <si>
    <t>LLEVAR REF 12973</t>
  </si>
  <si>
    <t xml:space="preserve">EBETH BELEÑO ARIZA </t>
  </si>
  <si>
    <t xml:space="preserve">LLEVAR REF 12936, 39 UNDS </t>
  </si>
  <si>
    <t>LLEVAR REF 13091</t>
  </si>
  <si>
    <t>LLEVAR REF 12968</t>
  </si>
  <si>
    <t xml:space="preserve">RECOGER 13016 Y LLEVAR  </t>
  </si>
  <si>
    <t>LLEVAR FRENTES Y ESPALDAS CON APLIQUES REF 13036</t>
  </si>
  <si>
    <t xml:space="preserve">RECOGER BOLILLO REF 12877 Y LLEVAR A DOÑA ELVIA </t>
  </si>
  <si>
    <t>RETIRAR LOTE</t>
  </si>
  <si>
    <t>LLEVAR REF 13058</t>
  </si>
  <si>
    <t>RECOGER REF 12782,13081Y LLEVAR REF 13081</t>
  </si>
  <si>
    <t>RECOGER REF 13005</t>
  </si>
  <si>
    <t>RECOGER REF 13086</t>
  </si>
  <si>
    <t>LLEVAR REF 12976</t>
  </si>
  <si>
    <t>RECOGER 13084 Y LLEVAR REF 12686</t>
  </si>
  <si>
    <t>RECOGER REF 13091, LLEVAR REF 13118</t>
  </si>
  <si>
    <t>RECOGER REF 13081, LLEVAR REF 13098</t>
  </si>
  <si>
    <t>RECOGER COLLARES REF 12976</t>
  </si>
  <si>
    <t>LLEVAR REF 12972</t>
  </si>
  <si>
    <t>2 VUELTAS_LOTE GRANDE</t>
  </si>
  <si>
    <t>2 VUELTA_LOTE GRANDE</t>
  </si>
  <si>
    <t>LIQUIDACION DEL 17 DE MARZO AL 27 DE MARZO 2026</t>
  </si>
  <si>
    <t>SERVICIO</t>
  </si>
  <si>
    <t>NOMBRE DESTINO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</si>
</sst>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\ * #,##0_-;\-&quot;$&quot;\ * #,##0_-;_-&quot;$&quot;\ * &quot;-&quot;_-;_-@_-"/>
    <numFmt numFmtId="43" formatCode="_-* #,##0.00_-;\-* #,##0.00_-;_-* &quot;-&quot;??_-;_-@_-"/>
    <numFmt numFmtId="165" formatCode="_(&quot;$&quot;\ * #,##0.00_);_(&quot;$&quot;\ * \(#,##0.00\);_(&quot;$&quot;\ * &quot;-&quot;??_);_(@_)"/>
    <numFmt numFmtId="166" formatCode="_(&quot;$&quot;\ * #,##0_);_(&quot;$&quot;\ * \(#,##0\);_(&quot;$&quot;\ 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166" fontId="0" fillId="0" borderId="2" xfId="1" applyNumberFormat="1" applyFont="1" applyFill="1" applyBorder="1"/>
    <xf numFmtId="0" fontId="0" fillId="0" borderId="2" xfId="0" applyFill="1" applyBorder="1"/>
    <xf numFmtId="0" fontId="0" fillId="0" borderId="0" xfId="0" applyFill="1"/>
    <xf numFmtId="0" fontId="0" fillId="0" borderId="0" xfId="0" applyFont="1" applyFill="1"/>
    <xf numFmtId="0" fontId="0" fillId="0" borderId="2" xfId="0" applyFont="1" applyFill="1" applyBorder="1" applyAlignment="1">
      <alignment horizontal="left"/>
    </xf>
    <xf numFmtId="166" fontId="1" fillId="0" borderId="2" xfId="1" applyNumberFormat="1" applyFont="1" applyFill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166" fontId="0" fillId="0" borderId="0" xfId="1" applyNumberFormat="1" applyFont="1" applyFill="1"/>
    <xf numFmtId="14" fontId="0" fillId="0" borderId="2" xfId="0" applyNumberForma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66" fontId="4" fillId="0" borderId="2" xfId="1" applyNumberFormat="1" applyFont="1" applyFill="1" applyBorder="1" applyAlignment="1">
      <alignment vertical="center"/>
    </xf>
    <xf numFmtId="0" fontId="2" fillId="0" borderId="2" xfId="0" quotePrefix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66" fontId="2" fillId="0" borderId="4" xfId="1" applyNumberFormat="1" applyFont="1" applyFill="1" applyBorder="1" applyAlignment="1">
      <alignment horizontal="center" vertical="center"/>
    </xf>
    <xf numFmtId="166" fontId="2" fillId="0" borderId="5" xfId="1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</cellXfs>
  <cellStyles count="4">
    <cellStyle name="Millares 2" xfId="3" xr:uid="{00000000-0005-0000-0000-000001000000}"/>
    <cellStyle name="Moneda" xfId="1" builtinId="4"/>
    <cellStyle name="Moneda [0] 2" xfId="2" xr:uid="{00000000-0005-0000-0000-000004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F3DB-A25B-4ED3-A8BA-B45F4C28DADF}">
  <sheetPr>
    <tabColor rgb="FF00B050"/>
    <pageSetUpPr fitToPage="1"/>
  </sheetPr>
  <dimension ref="A1:E28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6" sqref="H16"/>
    </sheetView>
  </sheetViews>
  <sheetFormatPr baseColWidth="10" defaultColWidth="11.5703125" defaultRowHeight="15" x14ac:dyDescent="0.25"/>
  <cols>
    <col min="1" max="1" width="13.5703125" style="8" customWidth="1"/>
    <col min="2" max="2" width="27.85546875" style="3" customWidth="1"/>
    <col min="3" max="3" width="43.7109375" style="3" customWidth="1"/>
    <col min="4" max="4" width="14.85546875" style="10" customWidth="1"/>
    <col min="5" max="5" width="23.7109375" style="9" customWidth="1"/>
    <col min="6" max="7" width="11.5703125" style="3"/>
    <col min="8" max="8" width="15.42578125" style="3" customWidth="1"/>
    <col min="9" max="16384" width="11.5703125" style="3"/>
  </cols>
  <sheetData>
    <row r="1" spans="1:5" ht="19.5" thickBot="1" x14ac:dyDescent="0.35">
      <c r="A1" s="13" t="s">
        <v>4</v>
      </c>
      <c r="B1" s="14"/>
      <c r="C1" s="14"/>
      <c r="D1" s="14"/>
      <c r="E1" s="15"/>
    </row>
    <row r="2" spans="1:5" s="24" customFormat="1" ht="18.75" customHeight="1" thickBot="1" x14ac:dyDescent="0.3">
      <c r="A2" s="21" t="s">
        <v>7</v>
      </c>
      <c r="B2" s="21" t="s">
        <v>53</v>
      </c>
      <c r="C2" s="21" t="s">
        <v>8</v>
      </c>
      <c r="D2" s="22" t="s">
        <v>9</v>
      </c>
      <c r="E2" s="23" t="s">
        <v>52</v>
      </c>
    </row>
    <row r="3" spans="1:5" s="4" customFormat="1" x14ac:dyDescent="0.25">
      <c r="A3" s="11">
        <v>46098</v>
      </c>
      <c r="B3" s="5" t="s">
        <v>17</v>
      </c>
      <c r="C3" s="5" t="s">
        <v>14</v>
      </c>
      <c r="D3" s="6">
        <v>16000</v>
      </c>
      <c r="E3" s="12" t="s">
        <v>19</v>
      </c>
    </row>
    <row r="4" spans="1:5" x14ac:dyDescent="0.25">
      <c r="A4" s="11">
        <v>46098</v>
      </c>
      <c r="B4" s="2" t="s">
        <v>6</v>
      </c>
      <c r="C4" s="2" t="s">
        <v>32</v>
      </c>
      <c r="D4" s="6">
        <v>16000</v>
      </c>
      <c r="E4" s="12" t="s">
        <v>19</v>
      </c>
    </row>
    <row r="5" spans="1:5" x14ac:dyDescent="0.25">
      <c r="A5" s="11">
        <v>46098</v>
      </c>
      <c r="B5" s="2" t="s">
        <v>12</v>
      </c>
      <c r="C5" s="2" t="s">
        <v>33</v>
      </c>
      <c r="D5" s="6">
        <v>16000</v>
      </c>
      <c r="E5" s="12" t="s">
        <v>19</v>
      </c>
    </row>
    <row r="6" spans="1:5" x14ac:dyDescent="0.25">
      <c r="A6" s="11">
        <v>46098</v>
      </c>
      <c r="B6" s="2" t="s">
        <v>23</v>
      </c>
      <c r="C6" s="2" t="s">
        <v>34</v>
      </c>
      <c r="D6" s="6">
        <v>16000</v>
      </c>
      <c r="E6" s="12" t="s">
        <v>19</v>
      </c>
    </row>
    <row r="7" spans="1:5" x14ac:dyDescent="0.25">
      <c r="A7" s="11">
        <v>46100</v>
      </c>
      <c r="B7" s="2" t="s">
        <v>26</v>
      </c>
      <c r="C7" s="2" t="s">
        <v>35</v>
      </c>
      <c r="D7" s="6">
        <v>49000</v>
      </c>
      <c r="E7" s="19" t="s">
        <v>21</v>
      </c>
    </row>
    <row r="8" spans="1:5" x14ac:dyDescent="0.25">
      <c r="A8" s="11">
        <v>46100</v>
      </c>
      <c r="B8" s="2" t="s">
        <v>2</v>
      </c>
      <c r="C8" s="2" t="s">
        <v>36</v>
      </c>
      <c r="D8" s="6">
        <v>16000</v>
      </c>
      <c r="E8" s="12" t="s">
        <v>19</v>
      </c>
    </row>
    <row r="9" spans="1:5" x14ac:dyDescent="0.25">
      <c r="A9" s="11">
        <v>46100</v>
      </c>
      <c r="B9" s="2" t="s">
        <v>16</v>
      </c>
      <c r="C9" s="2" t="s">
        <v>37</v>
      </c>
      <c r="D9" s="6">
        <v>16000</v>
      </c>
      <c r="E9" s="12" t="s">
        <v>19</v>
      </c>
    </row>
    <row r="10" spans="1:5" x14ac:dyDescent="0.25">
      <c r="A10" s="11">
        <v>46100</v>
      </c>
      <c r="B10" s="2" t="s">
        <v>25</v>
      </c>
      <c r="C10" s="2" t="s">
        <v>38</v>
      </c>
      <c r="D10" s="6">
        <v>16000</v>
      </c>
      <c r="E10" s="12" t="s">
        <v>19</v>
      </c>
    </row>
    <row r="11" spans="1:5" x14ac:dyDescent="0.25">
      <c r="A11" s="11">
        <v>46101</v>
      </c>
      <c r="B11" s="2" t="s">
        <v>31</v>
      </c>
      <c r="C11" s="2" t="s">
        <v>30</v>
      </c>
      <c r="D11" s="1">
        <v>16000</v>
      </c>
      <c r="E11" s="12" t="s">
        <v>18</v>
      </c>
    </row>
    <row r="12" spans="1:5" x14ac:dyDescent="0.25">
      <c r="A12" s="11">
        <v>46101</v>
      </c>
      <c r="B12" s="2" t="s">
        <v>22</v>
      </c>
      <c r="C12" s="2" t="s">
        <v>39</v>
      </c>
      <c r="D12" s="1">
        <v>16000</v>
      </c>
      <c r="E12" s="12" t="s">
        <v>18</v>
      </c>
    </row>
    <row r="13" spans="1:5" x14ac:dyDescent="0.25">
      <c r="A13" s="11">
        <v>46102</v>
      </c>
      <c r="B13" s="2" t="s">
        <v>17</v>
      </c>
      <c r="C13" s="2" t="s">
        <v>14</v>
      </c>
      <c r="D13" s="1">
        <v>21000</v>
      </c>
      <c r="E13" s="12" t="s">
        <v>27</v>
      </c>
    </row>
    <row r="14" spans="1:5" x14ac:dyDescent="0.25">
      <c r="A14" s="11">
        <v>46102</v>
      </c>
      <c r="B14" s="2" t="s">
        <v>0</v>
      </c>
      <c r="C14" s="2" t="s">
        <v>40</v>
      </c>
      <c r="D14" s="1">
        <f>16000*2</f>
        <v>32000</v>
      </c>
      <c r="E14" s="12" t="s">
        <v>24</v>
      </c>
    </row>
    <row r="15" spans="1:5" x14ac:dyDescent="0.25">
      <c r="A15" s="11">
        <v>46102</v>
      </c>
      <c r="B15" s="2" t="s">
        <v>31</v>
      </c>
      <c r="C15" s="2" t="s">
        <v>41</v>
      </c>
      <c r="D15" s="1">
        <v>16000</v>
      </c>
      <c r="E15" s="12" t="s">
        <v>19</v>
      </c>
    </row>
    <row r="16" spans="1:5" x14ac:dyDescent="0.25">
      <c r="A16" s="11">
        <v>46102</v>
      </c>
      <c r="B16" s="2" t="s">
        <v>11</v>
      </c>
      <c r="C16" s="2" t="s">
        <v>28</v>
      </c>
      <c r="D16" s="1">
        <v>16000</v>
      </c>
      <c r="E16" s="12" t="s">
        <v>19</v>
      </c>
    </row>
    <row r="17" spans="1:5" x14ac:dyDescent="0.25">
      <c r="A17" s="11">
        <v>46105</v>
      </c>
      <c r="B17" s="2" t="s">
        <v>22</v>
      </c>
      <c r="C17" s="2" t="s">
        <v>42</v>
      </c>
      <c r="D17" s="1">
        <v>16000</v>
      </c>
      <c r="E17" s="12" t="s">
        <v>19</v>
      </c>
    </row>
    <row r="18" spans="1:5" x14ac:dyDescent="0.25">
      <c r="A18" s="11">
        <v>46105</v>
      </c>
      <c r="B18" s="2" t="s">
        <v>1</v>
      </c>
      <c r="C18" s="2" t="s">
        <v>43</v>
      </c>
      <c r="D18" s="1">
        <v>16000</v>
      </c>
      <c r="E18" s="12" t="s">
        <v>19</v>
      </c>
    </row>
    <row r="19" spans="1:5" x14ac:dyDescent="0.25">
      <c r="A19" s="11">
        <v>46107</v>
      </c>
      <c r="B19" s="2" t="s">
        <v>26</v>
      </c>
      <c r="C19" s="2" t="s">
        <v>44</v>
      </c>
      <c r="D19" s="1">
        <v>49000</v>
      </c>
      <c r="E19" s="12" t="s">
        <v>49</v>
      </c>
    </row>
    <row r="20" spans="1:5" x14ac:dyDescent="0.25">
      <c r="A20" s="11">
        <v>46107</v>
      </c>
      <c r="B20" s="2" t="s">
        <v>12</v>
      </c>
      <c r="C20" s="2" t="s">
        <v>45</v>
      </c>
      <c r="D20" s="1">
        <f>16000*2</f>
        <v>32000</v>
      </c>
      <c r="E20" s="12" t="s">
        <v>10</v>
      </c>
    </row>
    <row r="21" spans="1:5" x14ac:dyDescent="0.25">
      <c r="A21" s="11">
        <v>46107</v>
      </c>
      <c r="B21" s="2" t="s">
        <v>0</v>
      </c>
      <c r="C21" s="2" t="s">
        <v>46</v>
      </c>
      <c r="D21" s="1">
        <f>16000*2</f>
        <v>32000</v>
      </c>
      <c r="E21" s="12" t="s">
        <v>21</v>
      </c>
    </row>
    <row r="22" spans="1:5" x14ac:dyDescent="0.25">
      <c r="A22" s="11">
        <v>46107</v>
      </c>
      <c r="B22" s="2" t="s">
        <v>13</v>
      </c>
      <c r="C22" s="2" t="s">
        <v>47</v>
      </c>
      <c r="D22" s="1">
        <v>16000</v>
      </c>
      <c r="E22" s="12" t="s">
        <v>19</v>
      </c>
    </row>
    <row r="23" spans="1:5" x14ac:dyDescent="0.25">
      <c r="A23" s="11">
        <v>46107</v>
      </c>
      <c r="B23" s="2" t="s">
        <v>3</v>
      </c>
      <c r="C23" s="2" t="s">
        <v>48</v>
      </c>
      <c r="D23" s="1">
        <v>16000</v>
      </c>
      <c r="E23" s="12" t="s">
        <v>19</v>
      </c>
    </row>
    <row r="24" spans="1:5" x14ac:dyDescent="0.25">
      <c r="A24" s="11">
        <v>46108</v>
      </c>
      <c r="B24" s="2" t="s">
        <v>17</v>
      </c>
      <c r="C24" s="2" t="s">
        <v>29</v>
      </c>
      <c r="D24" s="1">
        <v>16000</v>
      </c>
      <c r="E24" s="12" t="s">
        <v>19</v>
      </c>
    </row>
    <row r="25" spans="1:5" x14ac:dyDescent="0.25">
      <c r="A25" s="11">
        <v>46108</v>
      </c>
      <c r="B25" s="2" t="s">
        <v>23</v>
      </c>
      <c r="C25" s="2" t="s">
        <v>28</v>
      </c>
      <c r="D25" s="1">
        <v>16000</v>
      </c>
      <c r="E25" s="19" t="s">
        <v>19</v>
      </c>
    </row>
    <row r="26" spans="1:5" x14ac:dyDescent="0.25">
      <c r="A26" s="11">
        <v>46108</v>
      </c>
      <c r="B26" s="2" t="s">
        <v>5</v>
      </c>
      <c r="C26" s="2" t="s">
        <v>20</v>
      </c>
      <c r="D26" s="1">
        <f>21000+16000</f>
        <v>37000</v>
      </c>
      <c r="E26" s="19" t="s">
        <v>50</v>
      </c>
    </row>
    <row r="27" spans="1:5" x14ac:dyDescent="0.25">
      <c r="A27" s="11">
        <v>46108</v>
      </c>
      <c r="B27" s="2" t="s">
        <v>17</v>
      </c>
      <c r="C27" s="2" t="s">
        <v>15</v>
      </c>
      <c r="D27" s="1">
        <v>16000</v>
      </c>
      <c r="E27" s="19" t="s">
        <v>19</v>
      </c>
    </row>
    <row r="28" spans="1:5" ht="22.5" customHeight="1" x14ac:dyDescent="0.25">
      <c r="A28" s="7"/>
      <c r="B28" s="16" t="s">
        <v>51</v>
      </c>
      <c r="C28" s="17"/>
      <c r="D28" s="18">
        <f>SUM(D1:D27)</f>
        <v>540000</v>
      </c>
      <c r="E28" s="20"/>
    </row>
  </sheetData>
  <mergeCells count="2">
    <mergeCell ref="B28:C28"/>
    <mergeCell ref="A1:E1"/>
  </mergeCells>
  <phoneticPr fontId="5" type="noConversion"/>
  <pageMargins left="0.25" right="0.25" top="0.75" bottom="0.75" header="0.3" footer="0.3"/>
  <pageSetup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GILBERTO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AUXILIAR2</cp:lastModifiedBy>
  <cp:lastPrinted>2026-04-16T15:48:16Z</cp:lastPrinted>
  <dcterms:created xsi:type="dcterms:W3CDTF">2023-01-14T18:00:53Z</dcterms:created>
  <dcterms:modified xsi:type="dcterms:W3CDTF">2026-04-20T15:23:39Z</dcterms:modified>
</cp:coreProperties>
</file>