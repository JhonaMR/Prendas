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filterPrivacy="1" defaultThemeVersion="124226"/>
  <xr:revisionPtr revIDLastSave="0" documentId="13_ncr:1_{F715EE5B-B791-4BC1-A207-EC4C81C296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LAS 1" sheetId="9" r:id="rId1"/>
    <sheet name=" MUESTRAS 1" sheetId="6" r:id="rId2"/>
  </sheets>
  <definedNames>
    <definedName name="_xlnm._FilterDatabase" localSheetId="1" hidden="1">' MUESTRAS 1'!$A$1:$M$63</definedName>
    <definedName name="_xlnm._FilterDatabase" localSheetId="0" hidden="1">'TELAS 1'!$A$1:$L$35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3" i="6" l="1"/>
  <c r="F62" i="6"/>
  <c r="F61" i="6"/>
  <c r="F60" i="6"/>
  <c r="F59" i="6"/>
  <c r="F33" i="9" l="1"/>
  <c r="H33" i="9" s="1"/>
  <c r="G33" i="9"/>
  <c r="F58" i="6"/>
  <c r="G58" i="6" s="1"/>
  <c r="H58" i="6" s="1"/>
  <c r="F57" i="6"/>
  <c r="F56" i="6"/>
  <c r="F55" i="6"/>
  <c r="F54" i="6" l="1"/>
  <c r="F53" i="6"/>
  <c r="F52" i="6"/>
  <c r="F51" i="6"/>
  <c r="F50" i="6"/>
  <c r="F49" i="6"/>
  <c r="F48" i="6"/>
  <c r="F47" i="6"/>
  <c r="F46" i="6" l="1"/>
  <c r="F45" i="6" l="1"/>
  <c r="F44" i="6"/>
  <c r="F43" i="6" l="1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 l="1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 l="1"/>
  <c r="F19" i="9"/>
  <c r="G19" i="9" s="1"/>
  <c r="H19" i="9" s="1"/>
  <c r="F26" i="9"/>
  <c r="G26" i="9" s="1"/>
  <c r="H26" i="9" s="1"/>
  <c r="F27" i="9"/>
  <c r="H27" i="9" s="1"/>
  <c r="F28" i="9"/>
  <c r="H28" i="9" s="1"/>
  <c r="F29" i="9"/>
  <c r="H29" i="9" s="1"/>
  <c r="F30" i="9"/>
  <c r="H30" i="9" s="1"/>
  <c r="F31" i="9"/>
  <c r="G31" i="9" s="1"/>
  <c r="H31" i="9" s="1"/>
  <c r="F32" i="9"/>
  <c r="G32" i="9" s="1"/>
  <c r="H32" i="9" s="1"/>
  <c r="F34" i="9"/>
  <c r="G34" i="9" s="1"/>
  <c r="H34" i="9" s="1"/>
  <c r="F35" i="9"/>
  <c r="G35" i="9" s="1"/>
  <c r="H35" i="9" s="1"/>
  <c r="F20" i="9"/>
  <c r="G20" i="9" s="1"/>
  <c r="H20" i="9" s="1"/>
  <c r="F21" i="9"/>
  <c r="G21" i="9" s="1"/>
  <c r="H21" i="9" s="1"/>
  <c r="F22" i="9"/>
  <c r="G22" i="9" s="1"/>
  <c r="H22" i="9" s="1"/>
  <c r="F23" i="9"/>
  <c r="G23" i="9" s="1"/>
  <c r="H23" i="9" s="1"/>
  <c r="F24" i="9"/>
  <c r="G24" i="9" s="1"/>
  <c r="H24" i="9" s="1"/>
  <c r="F25" i="9"/>
  <c r="G25" i="9" s="1"/>
  <c r="H25" i="9" s="1"/>
  <c r="F18" i="9"/>
  <c r="G18" i="9" s="1"/>
  <c r="H18" i="9" s="1"/>
  <c r="F17" i="9"/>
  <c r="G17" i="9" s="1"/>
  <c r="H17" i="9" s="1"/>
  <c r="F16" i="9"/>
  <c r="G16" i="9" s="1"/>
  <c r="H16" i="9" s="1"/>
  <c r="F15" i="9"/>
  <c r="G15" i="9" s="1"/>
  <c r="H15" i="9" s="1"/>
  <c r="G9" i="9"/>
  <c r="G10" i="9"/>
  <c r="G11" i="9"/>
  <c r="G27" i="9"/>
  <c r="G28" i="9"/>
  <c r="G29" i="9"/>
  <c r="G30" i="9"/>
  <c r="F2" i="9"/>
  <c r="G2" i="9" s="1"/>
  <c r="H2" i="9" s="1"/>
  <c r="F3" i="9"/>
  <c r="G3" i="9" s="1"/>
  <c r="H3" i="9" s="1"/>
  <c r="F4" i="9"/>
  <c r="G4" i="9" s="1"/>
  <c r="H4" i="9" s="1"/>
  <c r="F5" i="9"/>
  <c r="G5" i="9" s="1"/>
  <c r="H5" i="9" s="1"/>
  <c r="F6" i="9"/>
  <c r="G6" i="9" s="1"/>
  <c r="H6" i="9" s="1"/>
  <c r="F7" i="9"/>
  <c r="G7" i="9" s="1"/>
  <c r="H7" i="9" s="1"/>
  <c r="F8" i="9"/>
  <c r="G8" i="9" s="1"/>
  <c r="H8" i="9" s="1"/>
  <c r="F9" i="9"/>
  <c r="H9" i="9" s="1"/>
  <c r="F10" i="9"/>
  <c r="H10" i="9" s="1"/>
  <c r="F11" i="9"/>
  <c r="H11" i="9" s="1"/>
  <c r="F12" i="9"/>
  <c r="G12" i="9" s="1"/>
  <c r="H12" i="9" s="1"/>
  <c r="F13" i="9"/>
  <c r="G13" i="9" s="1"/>
  <c r="H13" i="9" s="1"/>
  <c r="F14" i="9"/>
  <c r="G14" i="9" s="1"/>
  <c r="H14" i="9" s="1"/>
  <c r="G3" i="6" l="1"/>
  <c r="H3" i="6" s="1"/>
  <c r="G4" i="6"/>
  <c r="H4" i="6"/>
  <c r="G5" i="6"/>
  <c r="H5" i="6"/>
  <c r="G6" i="6"/>
  <c r="H6" i="6"/>
  <c r="G7" i="6"/>
  <c r="H7" i="6"/>
  <c r="G8" i="6"/>
  <c r="H8" i="6" s="1"/>
  <c r="G9" i="6"/>
  <c r="H9" i="6"/>
  <c r="G10" i="6"/>
  <c r="H10" i="6"/>
  <c r="G11" i="6"/>
  <c r="H11" i="6"/>
  <c r="G12" i="6"/>
  <c r="H12" i="6"/>
  <c r="G13" i="6"/>
  <c r="H13" i="6" s="1"/>
  <c r="G14" i="6"/>
  <c r="H14" i="6" s="1"/>
  <c r="G15" i="6"/>
  <c r="H15" i="6"/>
  <c r="G16" i="6"/>
  <c r="H16" i="6"/>
  <c r="G17" i="6"/>
  <c r="H17" i="6"/>
  <c r="G18" i="6"/>
  <c r="H18" i="6" s="1"/>
  <c r="G19" i="6"/>
  <c r="H19" i="6"/>
  <c r="G20" i="6"/>
  <c r="H20" i="6"/>
  <c r="G21" i="6"/>
  <c r="H21" i="6"/>
  <c r="G22" i="6"/>
  <c r="H22" i="6"/>
  <c r="G23" i="6"/>
  <c r="H23" i="6"/>
  <c r="G24" i="6"/>
  <c r="H24" i="6"/>
  <c r="G25" i="6"/>
  <c r="H25" i="6"/>
  <c r="G26" i="6"/>
  <c r="H26" i="6"/>
  <c r="G27" i="6"/>
  <c r="H27" i="6"/>
  <c r="G28" i="6"/>
  <c r="H28" i="6"/>
  <c r="G29" i="6"/>
  <c r="H29" i="6"/>
  <c r="G30" i="6"/>
  <c r="H30" i="6"/>
  <c r="G31" i="6"/>
  <c r="H31" i="6" s="1"/>
  <c r="G32" i="6"/>
  <c r="H32" i="6" s="1"/>
  <c r="G33" i="6"/>
  <c r="H33" i="6"/>
  <c r="G34" i="6"/>
  <c r="H34" i="6"/>
  <c r="G35" i="6"/>
  <c r="H35" i="6"/>
  <c r="G36" i="6"/>
  <c r="H36" i="6"/>
  <c r="G37" i="6"/>
  <c r="H37" i="6" s="1"/>
  <c r="G38" i="6"/>
  <c r="H38" i="6" s="1"/>
  <c r="G39" i="6"/>
  <c r="H39" i="6" s="1"/>
  <c r="G40" i="6"/>
  <c r="H40" i="6"/>
  <c r="G41" i="6"/>
  <c r="H41" i="6"/>
  <c r="G42" i="6"/>
  <c r="H42" i="6"/>
  <c r="G43" i="6"/>
  <c r="H43" i="6" s="1"/>
  <c r="G44" i="6"/>
  <c r="H44" i="6"/>
  <c r="G45" i="6"/>
  <c r="H45" i="6"/>
  <c r="G46" i="6"/>
  <c r="H46" i="6"/>
  <c r="G47" i="6"/>
  <c r="H47" i="6"/>
  <c r="G48" i="6"/>
  <c r="H48" i="6"/>
  <c r="G49" i="6"/>
  <c r="H49" i="6"/>
  <c r="G50" i="6"/>
  <c r="H50" i="6"/>
  <c r="G51" i="6"/>
  <c r="H51" i="6"/>
  <c r="G52" i="6"/>
  <c r="H52" i="6"/>
  <c r="G53" i="6"/>
  <c r="H53" i="6"/>
  <c r="G54" i="6"/>
  <c r="H54" i="6" s="1"/>
  <c r="G55" i="6"/>
  <c r="H55" i="6"/>
  <c r="G56" i="6"/>
  <c r="H56" i="6"/>
  <c r="G57" i="6"/>
  <c r="H57" i="6"/>
  <c r="G59" i="6"/>
  <c r="H59" i="6"/>
  <c r="G60" i="6"/>
  <c r="H60" i="6"/>
  <c r="G61" i="6"/>
  <c r="H61" i="6"/>
  <c r="G62" i="6"/>
  <c r="H62" i="6"/>
  <c r="G63" i="6"/>
  <c r="H63" i="6"/>
  <c r="G2" i="6"/>
  <c r="F2" i="6" l="1"/>
  <c r="H2" i="6" s="1"/>
</calcChain>
</file>

<file path=xl/sharedStrings.xml><?xml version="1.0" encoding="utf-8"?>
<sst xmlns="http://schemas.openxmlformats.org/spreadsheetml/2006/main" count="542" uniqueCount="153">
  <si>
    <t>TELA</t>
  </si>
  <si>
    <t>PROVEEDOR</t>
  </si>
  <si>
    <t>FECHA DE COMPRA</t>
  </si>
  <si>
    <t>COLORES</t>
  </si>
  <si>
    <t xml:space="preserve">PIEL DE DURAZNO </t>
  </si>
  <si>
    <t>NEGRO</t>
  </si>
  <si>
    <t>BLANCO</t>
  </si>
  <si>
    <t>CREMA</t>
  </si>
  <si>
    <t>MANUFACTURAS ELIOT</t>
  </si>
  <si>
    <t>BEIGE</t>
  </si>
  <si>
    <t>PRIMATELA</t>
  </si>
  <si>
    <t>PRONTAMODA</t>
  </si>
  <si>
    <t>AZUL</t>
  </si>
  <si>
    <t>FLATY</t>
  </si>
  <si>
    <t>GAIA SEC</t>
  </si>
  <si>
    <t>FE O RM</t>
  </si>
  <si>
    <t>MN TEXTIL_ MELISA CANO (FRANK)</t>
  </si>
  <si>
    <t>SUPER NOVA TEXTIL</t>
  </si>
  <si>
    <t>TOTAL PRECIO EN KILOS</t>
  </si>
  <si>
    <t>TOTAL PRECIO EN METROS</t>
  </si>
  <si>
    <t>ARGATEX</t>
  </si>
  <si>
    <t>LINO CREPE</t>
  </si>
  <si>
    <t>TEXTILES ESTACION</t>
  </si>
  <si>
    <t>VICTORIA RAYA</t>
  </si>
  <si>
    <t>CORTEZA</t>
  </si>
  <si>
    <t>PRECIO TOTAL METROS</t>
  </si>
  <si>
    <t>PRECIO TOTAL KILOS</t>
  </si>
  <si>
    <t>SUBTOTAL</t>
  </si>
  <si>
    <t>FACTURA No</t>
  </si>
  <si>
    <t>BENGALINA PANA</t>
  </si>
  <si>
    <t>AMELIA-180</t>
  </si>
  <si>
    <t>LICRA DESTELLANTE</t>
  </si>
  <si>
    <t>S</t>
  </si>
  <si>
    <t>POLILICRA</t>
  </si>
  <si>
    <t>IVA INCLUIDO SI/NO</t>
  </si>
  <si>
    <t>ISLANDIA</t>
  </si>
  <si>
    <t xml:space="preserve">BURDA MN </t>
  </si>
  <si>
    <t>POLO RIB</t>
  </si>
  <si>
    <t>DELIRIO</t>
  </si>
  <si>
    <t>HAWAI R009</t>
  </si>
  <si>
    <t>HAWAI R004</t>
  </si>
  <si>
    <t>F22452</t>
  </si>
  <si>
    <t>RU KIOTO</t>
  </si>
  <si>
    <t>CORBETA</t>
  </si>
  <si>
    <t>JACKELINE PEREA</t>
  </si>
  <si>
    <t>MAUI RAYON</t>
  </si>
  <si>
    <t>VERONA</t>
  </si>
  <si>
    <t>BANANA CLARO</t>
  </si>
  <si>
    <t>NAOMI</t>
  </si>
  <si>
    <t>F22859</t>
  </si>
  <si>
    <t>CRUDE/NEGRO</t>
  </si>
  <si>
    <t>HAWAI R027</t>
  </si>
  <si>
    <t>F22870</t>
  </si>
  <si>
    <t>HAWAI R013</t>
  </si>
  <si>
    <t>NEGRO/CRUDE</t>
  </si>
  <si>
    <t>VICTORIA RAYA R025</t>
  </si>
  <si>
    <t>VICTORIA RAYA R001</t>
  </si>
  <si>
    <t>COLOR</t>
  </si>
  <si>
    <t>FE6610</t>
  </si>
  <si>
    <t>PRETEÑIDO</t>
  </si>
  <si>
    <t>ESTAMPADO</t>
  </si>
  <si>
    <t xml:space="preserve">CUMBRE TIBE </t>
  </si>
  <si>
    <t xml:space="preserve">ZATLAN </t>
  </si>
  <si>
    <t>JEFFREYS HELADA</t>
  </si>
  <si>
    <t>LINOLIP</t>
  </si>
  <si>
    <t>FEV1114</t>
  </si>
  <si>
    <t>SE USÓ EN PRODUCCIÓN PARA REFERENCIA</t>
  </si>
  <si>
    <t>K</t>
  </si>
  <si>
    <t>M</t>
  </si>
  <si>
    <t>RDMTO</t>
  </si>
  <si>
    <t>FETP6819</t>
  </si>
  <si>
    <t>RIO R006</t>
  </si>
  <si>
    <t>RIO R009</t>
  </si>
  <si>
    <t>ARENA CROSS</t>
  </si>
  <si>
    <t xml:space="preserve">RIO RO14 </t>
  </si>
  <si>
    <t>NEGRO MAT</t>
  </si>
  <si>
    <t>RIO R004</t>
  </si>
  <si>
    <t>TAUPE</t>
  </si>
  <si>
    <t>F22896</t>
  </si>
  <si>
    <t>ALCANTARA</t>
  </si>
  <si>
    <t>BOUTISPOT</t>
  </si>
  <si>
    <t>JAT RUTA</t>
  </si>
  <si>
    <t>KEA TINOS</t>
  </si>
  <si>
    <t>MUSETTI</t>
  </si>
  <si>
    <t>PUF ELOFIELD</t>
  </si>
  <si>
    <t>PUFHER PASTEL</t>
  </si>
  <si>
    <t>PUFOR CIELO</t>
  </si>
  <si>
    <t>UNIKRAYADA</t>
  </si>
  <si>
    <t>SORTILEGIO</t>
  </si>
  <si>
    <t>SUCKI ITALY</t>
  </si>
  <si>
    <t>KLIPFEN CLAP</t>
  </si>
  <si>
    <t>LINOBROOKS</t>
  </si>
  <si>
    <t>MENTZ MESUIN</t>
  </si>
  <si>
    <t>MOSHINO</t>
  </si>
  <si>
    <t>OKSANA</t>
  </si>
  <si>
    <t>SIERRA BENDITA</t>
  </si>
  <si>
    <t>BRAZILIA HELADA</t>
  </si>
  <si>
    <t>ELO HUGE</t>
  </si>
  <si>
    <t>JAT VIENTO</t>
  </si>
  <si>
    <t xml:space="preserve">MINIWAFER </t>
  </si>
  <si>
    <t>MORESCA</t>
  </si>
  <si>
    <t>RIB BRAZILIA</t>
  </si>
  <si>
    <t>SARONNIS</t>
  </si>
  <si>
    <t>VALIPUNTA</t>
  </si>
  <si>
    <t>VALIZARAE</t>
  </si>
  <si>
    <t>ARE BLOCKS</t>
  </si>
  <si>
    <t xml:space="preserve">BRAZILIA </t>
  </si>
  <si>
    <t>BRONZETTI</t>
  </si>
  <si>
    <t>FOI VALIMANCHAS</t>
  </si>
  <si>
    <t>LUMA GALWAY</t>
  </si>
  <si>
    <t>MENTZ MOS</t>
  </si>
  <si>
    <t>MIKELZEN</t>
  </si>
  <si>
    <t xml:space="preserve">SANTEZA </t>
  </si>
  <si>
    <t>YEIN</t>
  </si>
  <si>
    <t>BLANCO/JASPE</t>
  </si>
  <si>
    <t>CRUDE/ARENA</t>
  </si>
  <si>
    <t>F22927</t>
  </si>
  <si>
    <t>FE2187</t>
  </si>
  <si>
    <t>GROSELLA FLAME</t>
  </si>
  <si>
    <t>FRAMBUESA BPT</t>
  </si>
  <si>
    <t>ALCAPARRA</t>
  </si>
  <si>
    <t>HIERBA LUISA</t>
  </si>
  <si>
    <t>TEÑIDA</t>
  </si>
  <si>
    <t>VIOLETA LUREX</t>
  </si>
  <si>
    <t>RUIBARBO PEACH</t>
  </si>
  <si>
    <t>AVENA</t>
  </si>
  <si>
    <t>ZARZAMORA</t>
  </si>
  <si>
    <t>SOLICITA Y RECIBE DISEÑADORA</t>
  </si>
  <si>
    <t>P147488573</t>
  </si>
  <si>
    <t>ISABEL MONTOYA</t>
  </si>
  <si>
    <t>FE6660</t>
  </si>
  <si>
    <t xml:space="preserve">PARIS </t>
  </si>
  <si>
    <t>SUCKI</t>
  </si>
  <si>
    <t>FETP6876</t>
  </si>
  <si>
    <t>FETP6867</t>
  </si>
  <si>
    <t>RIB FERREIRAS</t>
  </si>
  <si>
    <t xml:space="preserve">PERA PLUS </t>
  </si>
  <si>
    <t>BLANCA</t>
  </si>
  <si>
    <t>P147488656</t>
  </si>
  <si>
    <t>P147488639</t>
  </si>
  <si>
    <t>FEV1129</t>
  </si>
  <si>
    <t>FETP6890</t>
  </si>
  <si>
    <t>HAWAI R014</t>
  </si>
  <si>
    <t>F23005</t>
  </si>
  <si>
    <t>ALTAMAR</t>
  </si>
  <si>
    <t>ROSE</t>
  </si>
  <si>
    <t>CREAM</t>
  </si>
  <si>
    <t>FULLMOON</t>
  </si>
  <si>
    <t>MAREEN</t>
  </si>
  <si>
    <t>SOHOSLUB</t>
  </si>
  <si>
    <t>STELLARTECH</t>
  </si>
  <si>
    <t>OFF WITHE</t>
  </si>
  <si>
    <t>UND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</si>
</sst>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-&quot;$&quot;* #,##0_-;\-&quot;$&quot;* #,##0_-;_-&quot;$&quot;* &quot;-&quot;??_-;_-@_-"/>
    <numFmt numFmtId="166" formatCode="_-&quot;$&quot;\ * #,##0_-;\-&quot;$&quot;\ * #,##0_-;_-&quot;$&quot;\ * &quot;-&quot;??_-;_-@_-"/>
    <numFmt numFmtId="169" formatCode="_-* #,##0.00\ &quot;€&quot;_-;\-* #,##0.00\ &quot;€&quot;_-;_-* &quot;-&quot;??\ &quot;€&quot;_-;_-@_-"/>
    <numFmt numFmtId="170" formatCode="_-* #,##0.00\ _€_-;\-* #,##0.00\ _€_-;_-* &quot;-&quot;??\ _€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8" tint="0.59999389629810485"/>
      <name val="Calibri"/>
      <family val="2"/>
      <scheme val="minor"/>
    </font>
    <font>
      <b/>
      <sz val="10"/>
      <color theme="8" tint="0.59999389629810485"/>
      <name val="Calibri"/>
      <family val="2"/>
      <scheme val="minor"/>
    </font>
    <font>
      <b/>
      <sz val="8"/>
      <color theme="8" tint="0.5999938962981048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medium">
        <color indexed="64"/>
      </bottom>
      <diagonal/>
    </border>
  </borders>
  <cellStyleXfs count="11">
    <xf numFmtId="0" fontId="0" fillId="0" borderId="0"/>
    <xf numFmtId="164" fontId="1" fillId="0" borderId="0" applyFont="0" applyFill="0" applyBorder="0" applyAlignment="0" applyProtection="0"/>
    <xf numFmtId="0" fontId="1" fillId="2" borderId="0" applyNumberFormat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0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165" fontId="0" fillId="0" borderId="0" xfId="1" applyNumberFormat="1" applyFon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5" fontId="2" fillId="3" borderId="0" xfId="1" applyNumberFormat="1" applyFont="1" applyFill="1"/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65" fontId="2" fillId="4" borderId="0" xfId="1" applyNumberFormat="1" applyFont="1" applyFill="1"/>
    <xf numFmtId="0" fontId="2" fillId="4" borderId="0" xfId="0" applyFont="1" applyFill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right"/>
    </xf>
    <xf numFmtId="166" fontId="0" fillId="0" borderId="0" xfId="0" applyNumberFormat="1" applyFont="1" applyAlignment="1">
      <alignment horizontal="center"/>
    </xf>
    <xf numFmtId="14" fontId="0" fillId="0" borderId="0" xfId="0" applyNumberFormat="1" applyFont="1" applyAlignment="1">
      <alignment horizontal="right"/>
    </xf>
    <xf numFmtId="0" fontId="0" fillId="0" borderId="0" xfId="0" applyFont="1" applyFill="1"/>
    <xf numFmtId="0" fontId="0" fillId="0" borderId="0" xfId="0" applyFont="1" applyAlignment="1">
      <alignment horizontal="left"/>
    </xf>
    <xf numFmtId="0" fontId="0" fillId="0" borderId="0" xfId="0" applyAlignment="1">
      <alignment horizontal="center"/>
    </xf>
    <xf numFmtId="0" fontId="5" fillId="5" borderId="1" xfId="2" applyFont="1" applyFill="1" applyBorder="1" applyAlignment="1">
      <alignment horizontal="center" vertical="center" wrapText="1"/>
    </xf>
    <xf numFmtId="0" fontId="6" fillId="5" borderId="1" xfId="2" applyFont="1" applyFill="1" applyBorder="1" applyAlignment="1">
      <alignment horizontal="center" vertical="center" wrapText="1"/>
    </xf>
    <xf numFmtId="9" fontId="5" fillId="5" borderId="1" xfId="2" applyNumberFormat="1" applyFont="1" applyFill="1" applyBorder="1" applyAlignment="1">
      <alignment horizontal="center" vertical="center" wrapText="1"/>
    </xf>
    <xf numFmtId="165" fontId="5" fillId="5" borderId="1" xfId="2" applyNumberFormat="1" applyFont="1" applyFill="1" applyBorder="1" applyAlignment="1">
      <alignment horizontal="center" vertical="center" wrapText="1"/>
    </xf>
    <xf numFmtId="0" fontId="7" fillId="5" borderId="1" xfId="2" applyFont="1" applyFill="1" applyBorder="1" applyAlignment="1">
      <alignment horizontal="center" vertical="center" wrapText="1"/>
    </xf>
    <xf numFmtId="165" fontId="5" fillId="5" borderId="1" xfId="1" applyNumberFormat="1" applyFont="1" applyFill="1" applyBorder="1" applyAlignment="1">
      <alignment horizontal="center" vertical="center" wrapText="1"/>
    </xf>
    <xf numFmtId="165" fontId="5" fillId="5" borderId="1" xfId="3" applyNumberFormat="1" applyFont="1" applyFill="1" applyBorder="1" applyAlignment="1">
      <alignment horizontal="center" vertical="center" wrapText="1"/>
    </xf>
    <xf numFmtId="9" fontId="5" fillId="5" borderId="1" xfId="3" applyFont="1" applyFill="1" applyBorder="1" applyAlignment="1">
      <alignment horizontal="center" vertical="center" wrapText="1"/>
    </xf>
  </cellXfs>
  <cellStyles count="11">
    <cellStyle name="20% - Énfasis4" xfId="2" builtinId="42"/>
    <cellStyle name="Millares [0] 2" xfId="4" xr:uid="{4FD2992E-CDBB-41F1-82A6-5D29570B2767}"/>
    <cellStyle name="Millares 2" xfId="5" xr:uid="{487B0FD1-5661-49BA-A5EA-9033223AB104}"/>
    <cellStyle name="Millares 2 2" xfId="8" xr:uid="{00000000-0005-0000-0000-000033000000}"/>
    <cellStyle name="Millares 3" xfId="7" xr:uid="{00000000-0005-0000-0000-000032000000}"/>
    <cellStyle name="Millares 4" xfId="10" xr:uid="{00000000-0005-0000-0000-000035000000}"/>
    <cellStyle name="Moneda" xfId="1" builtinId="4"/>
    <cellStyle name="Moneda 2" xfId="6" xr:uid="{A54CF50E-9734-4133-B831-F53967255897}"/>
    <cellStyle name="Moneda 3" xfId="9" xr:uid="{00000000-0005-0000-0000-000034000000}"/>
    <cellStyle name="Normal" xfId="0" builtinId="0"/>
    <cellStyle name="Porcentaje" xfId="3" builtinId="5"/>
  </cellStyles>
  <dxfs count="6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colors>
    <mruColors>
      <color rgb="FF9DC0D1"/>
      <color rgb="FFFFCCFF"/>
      <color rgb="FFFF99CC"/>
      <color rgb="FFFF99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2DCE7-DE86-48C2-A9BA-3DCA905695F8}">
  <dimension ref="A1:L35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4" sqref="A4"/>
      <selection pane="bottomRight" activeCell="P20" sqref="P20"/>
    </sheetView>
  </sheetViews>
  <sheetFormatPr baseColWidth="10" defaultColWidth="9.140625" defaultRowHeight="15" x14ac:dyDescent="0.25"/>
  <cols>
    <col min="1" max="1" width="27.42578125" style="15" customWidth="1"/>
    <col min="2" max="2" width="15.7109375" style="14" customWidth="1"/>
    <col min="3" max="3" width="7.7109375" style="13" customWidth="1"/>
    <col min="4" max="4" width="9.28515625" style="14" customWidth="1"/>
    <col min="5" max="5" width="15.85546875" style="14" customWidth="1"/>
    <col min="6" max="6" width="15" style="14" customWidth="1"/>
    <col min="7" max="7" width="14.7109375" style="5" customWidth="1"/>
    <col min="8" max="8" width="14.5703125" style="10" customWidth="1"/>
    <col min="9" max="9" width="32" style="15" customWidth="1"/>
    <col min="10" max="10" width="12.140625" style="16" customWidth="1"/>
    <col min="11" max="11" width="8.140625" style="11" customWidth="1"/>
    <col min="12" max="12" width="12.42578125" style="7" customWidth="1"/>
    <col min="13" max="13" width="9.140625" style="15"/>
    <col min="14" max="14" width="12.140625" style="15" bestFit="1" customWidth="1"/>
    <col min="15" max="15" width="11.5703125" style="15" bestFit="1" customWidth="1"/>
    <col min="16" max="16" width="16.42578125" style="15" customWidth="1"/>
    <col min="17" max="16384" width="9.140625" style="15"/>
  </cols>
  <sheetData>
    <row r="1" spans="1:12" s="1" customFormat="1" ht="35.25" thickTop="1" thickBot="1" x14ac:dyDescent="0.3">
      <c r="A1" s="22" t="s">
        <v>0</v>
      </c>
      <c r="B1" s="22" t="s">
        <v>57</v>
      </c>
      <c r="C1" s="23" t="s">
        <v>152</v>
      </c>
      <c r="D1" s="22" t="s">
        <v>69</v>
      </c>
      <c r="E1" s="22" t="s">
        <v>27</v>
      </c>
      <c r="F1" s="24">
        <v>0.19</v>
      </c>
      <c r="G1" s="25" t="s">
        <v>26</v>
      </c>
      <c r="H1" s="22" t="s">
        <v>25</v>
      </c>
      <c r="I1" s="22" t="s">
        <v>1</v>
      </c>
      <c r="J1" s="22" t="s">
        <v>2</v>
      </c>
      <c r="K1" s="26" t="s">
        <v>34</v>
      </c>
      <c r="L1" s="22" t="s">
        <v>15</v>
      </c>
    </row>
    <row r="2" spans="1:12" x14ac:dyDescent="0.25">
      <c r="A2" s="15" t="s">
        <v>39</v>
      </c>
      <c r="B2" s="15" t="s">
        <v>47</v>
      </c>
      <c r="C2" s="13" t="s">
        <v>67</v>
      </c>
      <c r="D2" s="14">
        <v>2.1</v>
      </c>
      <c r="E2" s="17">
        <v>38900</v>
      </c>
      <c r="F2" s="17">
        <f t="shared" ref="F2:F35" si="0">E2*$F$1</f>
        <v>7391</v>
      </c>
      <c r="G2" s="5">
        <f t="shared" ref="G2:G35" si="1">IF(C2="K",E2+F2,0)</f>
        <v>46291</v>
      </c>
      <c r="H2" s="9">
        <f t="shared" ref="H2:H35" si="2">IF(C2="M",E2+F2,IF(C2="K",G2/D2,0))</f>
        <v>22043.333333333332</v>
      </c>
      <c r="I2" s="19" t="s">
        <v>22</v>
      </c>
      <c r="J2" s="18">
        <v>46042</v>
      </c>
      <c r="K2" s="11" t="s">
        <v>32</v>
      </c>
      <c r="L2" s="7" t="s">
        <v>41</v>
      </c>
    </row>
    <row r="3" spans="1:12" x14ac:dyDescent="0.25">
      <c r="A3" s="15" t="s">
        <v>40</v>
      </c>
      <c r="B3" s="15" t="s">
        <v>12</v>
      </c>
      <c r="C3" s="13" t="s">
        <v>67</v>
      </c>
      <c r="D3" s="14">
        <v>2.1</v>
      </c>
      <c r="E3" s="17">
        <v>38900</v>
      </c>
      <c r="F3" s="17">
        <f t="shared" si="0"/>
        <v>7391</v>
      </c>
      <c r="G3" s="5">
        <f t="shared" si="1"/>
        <v>46291</v>
      </c>
      <c r="H3" s="9">
        <f t="shared" si="2"/>
        <v>22043.333333333332</v>
      </c>
      <c r="I3" s="19" t="s">
        <v>22</v>
      </c>
      <c r="J3" s="18">
        <v>46042</v>
      </c>
      <c r="K3" s="11" t="s">
        <v>32</v>
      </c>
      <c r="L3" s="7" t="s">
        <v>41</v>
      </c>
    </row>
    <row r="4" spans="1:12" x14ac:dyDescent="0.25">
      <c r="A4" s="15" t="s">
        <v>51</v>
      </c>
      <c r="B4" s="15" t="s">
        <v>50</v>
      </c>
      <c r="C4" s="13" t="s">
        <v>67</v>
      </c>
      <c r="D4" s="14">
        <v>2.1</v>
      </c>
      <c r="E4" s="17">
        <v>44900</v>
      </c>
      <c r="F4" s="17">
        <f t="shared" si="0"/>
        <v>8531</v>
      </c>
      <c r="G4" s="5">
        <f t="shared" si="1"/>
        <v>53431</v>
      </c>
      <c r="H4" s="9">
        <f t="shared" si="2"/>
        <v>25443.333333333332</v>
      </c>
      <c r="I4" s="19" t="s">
        <v>22</v>
      </c>
      <c r="J4" s="18">
        <v>46094</v>
      </c>
      <c r="K4" s="11" t="s">
        <v>32</v>
      </c>
      <c r="L4" s="7" t="s">
        <v>52</v>
      </c>
    </row>
    <row r="5" spans="1:12" x14ac:dyDescent="0.25">
      <c r="A5" s="15" t="s">
        <v>48</v>
      </c>
      <c r="B5" s="15" t="s">
        <v>3</v>
      </c>
      <c r="C5" s="13" t="s">
        <v>67</v>
      </c>
      <c r="D5" s="14">
        <v>7.7</v>
      </c>
      <c r="E5" s="17">
        <v>29900</v>
      </c>
      <c r="F5" s="17">
        <f t="shared" si="0"/>
        <v>5681</v>
      </c>
      <c r="G5" s="5">
        <f t="shared" si="1"/>
        <v>35581</v>
      </c>
      <c r="H5" s="9">
        <f t="shared" si="2"/>
        <v>4620.909090909091</v>
      </c>
      <c r="I5" s="19" t="s">
        <v>22</v>
      </c>
      <c r="J5" s="18">
        <v>46093</v>
      </c>
      <c r="K5" s="11" t="s">
        <v>32</v>
      </c>
      <c r="L5" s="7" t="s">
        <v>49</v>
      </c>
    </row>
    <row r="6" spans="1:12" x14ac:dyDescent="0.25">
      <c r="A6" s="15" t="s">
        <v>53</v>
      </c>
      <c r="B6" s="15" t="s">
        <v>54</v>
      </c>
      <c r="C6" s="13" t="s">
        <v>67</v>
      </c>
      <c r="D6" s="14">
        <v>2.1</v>
      </c>
      <c r="E6" s="17">
        <v>44900</v>
      </c>
      <c r="F6" s="17">
        <f t="shared" si="0"/>
        <v>8531</v>
      </c>
      <c r="G6" s="5">
        <f t="shared" si="1"/>
        <v>53431</v>
      </c>
      <c r="H6" s="9">
        <f t="shared" si="2"/>
        <v>25443.333333333332</v>
      </c>
      <c r="I6" s="19" t="s">
        <v>22</v>
      </c>
      <c r="J6" s="18">
        <v>46094</v>
      </c>
      <c r="K6" s="11" t="s">
        <v>32</v>
      </c>
      <c r="L6" s="7" t="s">
        <v>52</v>
      </c>
    </row>
    <row r="7" spans="1:12" x14ac:dyDescent="0.25">
      <c r="A7" s="15" t="s">
        <v>55</v>
      </c>
      <c r="B7" s="15" t="s">
        <v>50</v>
      </c>
      <c r="C7" s="13" t="s">
        <v>67</v>
      </c>
      <c r="D7" s="14">
        <v>2.2000000000000002</v>
      </c>
      <c r="E7" s="17">
        <v>44925.210084033613</v>
      </c>
      <c r="F7" s="17">
        <f t="shared" si="0"/>
        <v>8535.7899159663866</v>
      </c>
      <c r="G7" s="5">
        <f t="shared" si="1"/>
        <v>53461</v>
      </c>
      <c r="H7" s="9">
        <f t="shared" si="2"/>
        <v>24300.454545454544</v>
      </c>
      <c r="I7" s="19" t="s">
        <v>22</v>
      </c>
      <c r="J7" s="18">
        <v>46042</v>
      </c>
      <c r="K7" s="11" t="s">
        <v>32</v>
      </c>
      <c r="L7" s="7" t="s">
        <v>41</v>
      </c>
    </row>
    <row r="8" spans="1:12" x14ac:dyDescent="0.25">
      <c r="A8" s="15" t="s">
        <v>56</v>
      </c>
      <c r="B8" s="15" t="s">
        <v>50</v>
      </c>
      <c r="C8" s="13" t="s">
        <v>67</v>
      </c>
      <c r="D8" s="14">
        <v>2.2000000000000002</v>
      </c>
      <c r="E8" s="17">
        <v>44925.210084033613</v>
      </c>
      <c r="F8" s="17">
        <f t="shared" si="0"/>
        <v>8535.7899159663866</v>
      </c>
      <c r="G8" s="5">
        <f t="shared" si="1"/>
        <v>53461</v>
      </c>
      <c r="H8" s="9">
        <f t="shared" si="2"/>
        <v>24300.454545454544</v>
      </c>
      <c r="I8" s="19" t="s">
        <v>22</v>
      </c>
      <c r="J8" s="18">
        <v>46042</v>
      </c>
      <c r="K8" s="11" t="s">
        <v>32</v>
      </c>
      <c r="L8" s="7" t="s">
        <v>41</v>
      </c>
    </row>
    <row r="9" spans="1:12" x14ac:dyDescent="0.25">
      <c r="A9" s="15" t="s">
        <v>45</v>
      </c>
      <c r="B9" s="20" t="s">
        <v>3</v>
      </c>
      <c r="C9" s="13" t="s">
        <v>68</v>
      </c>
      <c r="E9" s="17">
        <v>9200</v>
      </c>
      <c r="F9" s="17">
        <f t="shared" si="0"/>
        <v>1748</v>
      </c>
      <c r="G9" s="5">
        <f t="shared" si="1"/>
        <v>0</v>
      </c>
      <c r="H9" s="9">
        <f t="shared" si="2"/>
        <v>10948</v>
      </c>
      <c r="I9" s="19" t="s">
        <v>20</v>
      </c>
      <c r="J9" s="18">
        <v>46091</v>
      </c>
      <c r="K9" s="11" t="s">
        <v>32</v>
      </c>
      <c r="L9" s="7" t="s">
        <v>58</v>
      </c>
    </row>
    <row r="10" spans="1:12" x14ac:dyDescent="0.25">
      <c r="A10" s="15" t="s">
        <v>63</v>
      </c>
      <c r="B10" s="20" t="s">
        <v>3</v>
      </c>
      <c r="C10" s="13" t="s">
        <v>68</v>
      </c>
      <c r="E10" s="17">
        <v>19989.915966386554</v>
      </c>
      <c r="F10" s="17">
        <f t="shared" si="0"/>
        <v>3798.0840336134452</v>
      </c>
      <c r="G10" s="5">
        <f t="shared" si="1"/>
        <v>0</v>
      </c>
      <c r="H10" s="9">
        <f t="shared" si="2"/>
        <v>23788</v>
      </c>
      <c r="I10" s="19" t="s">
        <v>8</v>
      </c>
      <c r="J10" s="18">
        <v>46098</v>
      </c>
      <c r="K10" s="11" t="s">
        <v>32</v>
      </c>
      <c r="L10" s="7">
        <v>2312151326</v>
      </c>
    </row>
    <row r="11" spans="1:12" x14ac:dyDescent="0.25">
      <c r="A11" s="15" t="s">
        <v>64</v>
      </c>
      <c r="B11" s="20" t="s">
        <v>60</v>
      </c>
      <c r="C11" s="13" t="s">
        <v>68</v>
      </c>
      <c r="E11" s="17">
        <v>10989.915966386556</v>
      </c>
      <c r="F11" s="17">
        <f t="shared" si="0"/>
        <v>2088.0840336134456</v>
      </c>
      <c r="G11" s="5">
        <f t="shared" si="1"/>
        <v>0</v>
      </c>
      <c r="H11" s="9">
        <f t="shared" si="2"/>
        <v>13078.000000000002</v>
      </c>
      <c r="I11" s="19" t="s">
        <v>8</v>
      </c>
      <c r="J11" s="18">
        <v>46190</v>
      </c>
      <c r="K11" s="11" t="s">
        <v>32</v>
      </c>
      <c r="L11" s="7">
        <v>2312151326</v>
      </c>
    </row>
    <row r="12" spans="1:12" x14ac:dyDescent="0.25">
      <c r="A12" s="19" t="s">
        <v>36</v>
      </c>
      <c r="B12" s="15" t="s">
        <v>3</v>
      </c>
      <c r="C12" s="13" t="s">
        <v>67</v>
      </c>
      <c r="D12" s="14">
        <v>2.4</v>
      </c>
      <c r="E12" s="17">
        <v>26890.756302521011</v>
      </c>
      <c r="F12" s="17">
        <f t="shared" si="0"/>
        <v>5109.2436974789925</v>
      </c>
      <c r="G12" s="5">
        <f t="shared" si="1"/>
        <v>32000.000000000004</v>
      </c>
      <c r="H12" s="9">
        <f t="shared" si="2"/>
        <v>13333.333333333336</v>
      </c>
      <c r="I12" s="19" t="s">
        <v>16</v>
      </c>
      <c r="J12" s="18">
        <v>46098</v>
      </c>
      <c r="K12" s="11" t="s">
        <v>32</v>
      </c>
      <c r="L12" s="7" t="s">
        <v>65</v>
      </c>
    </row>
    <row r="13" spans="1:12" x14ac:dyDescent="0.25">
      <c r="A13" s="19" t="s">
        <v>31</v>
      </c>
      <c r="B13" s="15" t="s">
        <v>3</v>
      </c>
      <c r="C13" s="13" t="s">
        <v>67</v>
      </c>
      <c r="D13" s="14">
        <v>3.2</v>
      </c>
      <c r="E13" s="17">
        <v>40336.134453781517</v>
      </c>
      <c r="F13" s="17">
        <f t="shared" si="0"/>
        <v>7663.8655462184879</v>
      </c>
      <c r="G13" s="5">
        <f t="shared" si="1"/>
        <v>48000.000000000007</v>
      </c>
      <c r="H13" s="9">
        <f t="shared" si="2"/>
        <v>15000.000000000002</v>
      </c>
      <c r="I13" s="15" t="s">
        <v>16</v>
      </c>
      <c r="J13" s="18">
        <v>46098</v>
      </c>
      <c r="K13" s="11" t="s">
        <v>32</v>
      </c>
      <c r="L13" s="7" t="s">
        <v>65</v>
      </c>
    </row>
    <row r="14" spans="1:12" x14ac:dyDescent="0.25">
      <c r="A14" s="15" t="s">
        <v>4</v>
      </c>
      <c r="B14" s="15" t="s">
        <v>3</v>
      </c>
      <c r="C14" s="13" t="s">
        <v>67</v>
      </c>
      <c r="D14" s="14">
        <v>3.6</v>
      </c>
      <c r="E14" s="17">
        <v>15546.218487394959</v>
      </c>
      <c r="F14" s="17">
        <f t="shared" si="0"/>
        <v>2953.7815126050423</v>
      </c>
      <c r="G14" s="5">
        <f t="shared" si="1"/>
        <v>18500</v>
      </c>
      <c r="H14" s="9">
        <f t="shared" si="2"/>
        <v>5138.8888888888887</v>
      </c>
      <c r="I14" s="19" t="s">
        <v>16</v>
      </c>
      <c r="J14" s="18">
        <v>46098</v>
      </c>
      <c r="K14" s="11" t="s">
        <v>32</v>
      </c>
      <c r="L14" s="7" t="s">
        <v>65</v>
      </c>
    </row>
    <row r="15" spans="1:12" x14ac:dyDescent="0.25">
      <c r="A15" s="15" t="s">
        <v>72</v>
      </c>
      <c r="B15" s="15" t="s">
        <v>9</v>
      </c>
      <c r="C15" s="13" t="s">
        <v>67</v>
      </c>
      <c r="D15" s="14">
        <v>2.4</v>
      </c>
      <c r="E15" s="17">
        <v>35900</v>
      </c>
      <c r="F15" s="17">
        <f t="shared" si="0"/>
        <v>6821</v>
      </c>
      <c r="G15" s="5">
        <f t="shared" si="1"/>
        <v>42721</v>
      </c>
      <c r="H15" s="9">
        <f t="shared" si="2"/>
        <v>17800.416666666668</v>
      </c>
      <c r="I15" s="19" t="s">
        <v>22</v>
      </c>
      <c r="J15" s="18">
        <v>46097</v>
      </c>
      <c r="K15" s="11" t="s">
        <v>32</v>
      </c>
      <c r="L15" s="7" t="s">
        <v>78</v>
      </c>
    </row>
    <row r="16" spans="1:12" x14ac:dyDescent="0.25">
      <c r="A16" s="15" t="s">
        <v>71</v>
      </c>
      <c r="B16" s="15" t="s">
        <v>73</v>
      </c>
      <c r="C16" s="13" t="s">
        <v>67</v>
      </c>
      <c r="D16" s="14">
        <v>2.4</v>
      </c>
      <c r="E16" s="17">
        <v>35900</v>
      </c>
      <c r="F16" s="17">
        <f t="shared" si="0"/>
        <v>6821</v>
      </c>
      <c r="G16" s="5">
        <f t="shared" si="1"/>
        <v>42721</v>
      </c>
      <c r="H16" s="9">
        <f t="shared" si="2"/>
        <v>17800.416666666668</v>
      </c>
      <c r="I16" s="19" t="s">
        <v>22</v>
      </c>
      <c r="J16" s="18">
        <v>46097</v>
      </c>
      <c r="K16" s="11" t="s">
        <v>32</v>
      </c>
      <c r="L16" s="7" t="s">
        <v>78</v>
      </c>
    </row>
    <row r="17" spans="1:12" x14ac:dyDescent="0.25">
      <c r="A17" s="15" t="s">
        <v>74</v>
      </c>
      <c r="B17" s="15" t="s">
        <v>75</v>
      </c>
      <c r="C17" s="13" t="s">
        <v>67</v>
      </c>
      <c r="D17" s="14">
        <v>2.4</v>
      </c>
      <c r="E17" s="17">
        <v>35900</v>
      </c>
      <c r="F17" s="17">
        <f t="shared" si="0"/>
        <v>6821</v>
      </c>
      <c r="G17" s="5">
        <f t="shared" si="1"/>
        <v>42721</v>
      </c>
      <c r="H17" s="9">
        <f t="shared" si="2"/>
        <v>17800.416666666668</v>
      </c>
      <c r="I17" s="19" t="s">
        <v>22</v>
      </c>
      <c r="J17" s="18">
        <v>46097</v>
      </c>
      <c r="K17" s="11" t="s">
        <v>32</v>
      </c>
      <c r="L17" s="7" t="s">
        <v>78</v>
      </c>
    </row>
    <row r="18" spans="1:12" x14ac:dyDescent="0.25">
      <c r="A18" s="15" t="s">
        <v>76</v>
      </c>
      <c r="B18" s="15" t="s">
        <v>77</v>
      </c>
      <c r="C18" s="13" t="s">
        <v>67</v>
      </c>
      <c r="D18" s="14">
        <v>2.4</v>
      </c>
      <c r="E18" s="17">
        <v>35900</v>
      </c>
      <c r="F18" s="17">
        <f t="shared" si="0"/>
        <v>6821</v>
      </c>
      <c r="G18" s="5">
        <f t="shared" si="1"/>
        <v>42721</v>
      </c>
      <c r="H18" s="9">
        <f t="shared" si="2"/>
        <v>17800.416666666668</v>
      </c>
      <c r="I18" s="19" t="s">
        <v>22</v>
      </c>
      <c r="J18" s="18">
        <v>46097</v>
      </c>
      <c r="K18" s="11" t="s">
        <v>32</v>
      </c>
      <c r="L18" s="7" t="s">
        <v>78</v>
      </c>
    </row>
    <row r="19" spans="1:12" x14ac:dyDescent="0.25">
      <c r="A19" s="19" t="s">
        <v>24</v>
      </c>
      <c r="B19" s="19" t="s">
        <v>3</v>
      </c>
      <c r="C19" s="13" t="s">
        <v>67</v>
      </c>
      <c r="D19" s="14">
        <v>2.5</v>
      </c>
      <c r="E19" s="17">
        <v>39990</v>
      </c>
      <c r="F19" s="17">
        <f>E19*$F$1</f>
        <v>7598.1</v>
      </c>
      <c r="G19" s="5">
        <f t="shared" si="1"/>
        <v>47588.1</v>
      </c>
      <c r="H19" s="9">
        <f t="shared" si="2"/>
        <v>19035.239999999998</v>
      </c>
      <c r="I19" s="19" t="s">
        <v>8</v>
      </c>
      <c r="J19" s="18">
        <v>46102</v>
      </c>
      <c r="K19" s="11" t="s">
        <v>32</v>
      </c>
      <c r="L19" s="7">
        <v>2312152406</v>
      </c>
    </row>
    <row r="20" spans="1:12" x14ac:dyDescent="0.25">
      <c r="A20" s="19" t="s">
        <v>23</v>
      </c>
      <c r="B20" s="19" t="s">
        <v>50</v>
      </c>
      <c r="C20" s="13" t="s">
        <v>67</v>
      </c>
      <c r="D20" s="14">
        <v>2.2000000000000002</v>
      </c>
      <c r="E20" s="17">
        <v>35900</v>
      </c>
      <c r="F20" s="17">
        <f t="shared" si="0"/>
        <v>6821</v>
      </c>
      <c r="G20" s="5">
        <f t="shared" si="1"/>
        <v>42721</v>
      </c>
      <c r="H20" s="9">
        <f t="shared" si="2"/>
        <v>19418.63636363636</v>
      </c>
      <c r="I20" s="19" t="s">
        <v>8</v>
      </c>
      <c r="J20" s="18">
        <v>46100</v>
      </c>
      <c r="K20" s="11" t="s">
        <v>32</v>
      </c>
      <c r="L20" s="7" t="s">
        <v>116</v>
      </c>
    </row>
    <row r="21" spans="1:12" ht="13.5" customHeight="1" x14ac:dyDescent="0.25">
      <c r="A21" s="19" t="s">
        <v>23</v>
      </c>
      <c r="B21" s="19" t="s">
        <v>114</v>
      </c>
      <c r="C21" s="13" t="s">
        <v>67</v>
      </c>
      <c r="D21" s="14">
        <v>2.2000000000000002</v>
      </c>
      <c r="E21" s="17">
        <v>35900</v>
      </c>
      <c r="F21" s="17">
        <f t="shared" si="0"/>
        <v>6821</v>
      </c>
      <c r="G21" s="5">
        <f t="shared" si="1"/>
        <v>42721</v>
      </c>
      <c r="H21" s="9">
        <f t="shared" si="2"/>
        <v>19418.63636363636</v>
      </c>
      <c r="I21" s="19" t="s">
        <v>8</v>
      </c>
      <c r="J21" s="18">
        <v>46100</v>
      </c>
      <c r="K21" s="11" t="s">
        <v>32</v>
      </c>
      <c r="L21" s="7" t="s">
        <v>116</v>
      </c>
    </row>
    <row r="22" spans="1:12" x14ac:dyDescent="0.25">
      <c r="A22" s="19" t="s">
        <v>23</v>
      </c>
      <c r="B22" s="19" t="s">
        <v>115</v>
      </c>
      <c r="C22" s="13" t="s">
        <v>67</v>
      </c>
      <c r="D22" s="14">
        <v>2.2000000000000002</v>
      </c>
      <c r="E22" s="17">
        <v>35900</v>
      </c>
      <c r="F22" s="17">
        <f t="shared" si="0"/>
        <v>6821</v>
      </c>
      <c r="G22" s="5">
        <f t="shared" si="1"/>
        <v>42721</v>
      </c>
      <c r="H22" s="9">
        <f t="shared" si="2"/>
        <v>19418.63636363636</v>
      </c>
      <c r="I22" s="19" t="s">
        <v>8</v>
      </c>
      <c r="J22" s="18">
        <v>46100</v>
      </c>
      <c r="K22" s="11" t="s">
        <v>32</v>
      </c>
      <c r="L22" s="7" t="s">
        <v>116</v>
      </c>
    </row>
    <row r="23" spans="1:12" x14ac:dyDescent="0.25">
      <c r="A23" s="19" t="s">
        <v>23</v>
      </c>
      <c r="B23" s="19" t="s">
        <v>77</v>
      </c>
      <c r="C23" s="13" t="s">
        <v>67</v>
      </c>
      <c r="D23" s="14">
        <v>2.2000000000000002</v>
      </c>
      <c r="E23" s="17">
        <v>35900</v>
      </c>
      <c r="F23" s="17">
        <f t="shared" si="0"/>
        <v>6821</v>
      </c>
      <c r="G23" s="5">
        <f t="shared" si="1"/>
        <v>42721</v>
      </c>
      <c r="H23" s="9">
        <f t="shared" si="2"/>
        <v>19418.63636363636</v>
      </c>
      <c r="I23" s="19" t="s">
        <v>8</v>
      </c>
      <c r="J23" s="18">
        <v>46100</v>
      </c>
      <c r="K23" s="11" t="s">
        <v>32</v>
      </c>
      <c r="L23" s="7" t="s">
        <v>116</v>
      </c>
    </row>
    <row r="24" spans="1:12" x14ac:dyDescent="0.25">
      <c r="A24" s="19" t="s">
        <v>48</v>
      </c>
      <c r="B24" s="19" t="s">
        <v>9</v>
      </c>
      <c r="C24" s="13" t="s">
        <v>67</v>
      </c>
      <c r="D24" s="14">
        <v>7.7</v>
      </c>
      <c r="E24" s="17">
        <v>29900</v>
      </c>
      <c r="F24" s="17">
        <f t="shared" si="0"/>
        <v>5681</v>
      </c>
      <c r="G24" s="5">
        <f t="shared" si="1"/>
        <v>35581</v>
      </c>
      <c r="H24" s="9">
        <f t="shared" si="2"/>
        <v>4620.909090909091</v>
      </c>
      <c r="I24" s="15" t="s">
        <v>22</v>
      </c>
      <c r="J24" s="18">
        <v>46100</v>
      </c>
      <c r="K24" s="11" t="s">
        <v>32</v>
      </c>
      <c r="L24" s="7" t="s">
        <v>116</v>
      </c>
    </row>
    <row r="25" spans="1:12" x14ac:dyDescent="0.25">
      <c r="A25" s="19" t="s">
        <v>37</v>
      </c>
      <c r="B25" s="19" t="s">
        <v>3</v>
      </c>
      <c r="C25" s="13" t="s">
        <v>67</v>
      </c>
      <c r="D25" s="14">
        <v>2</v>
      </c>
      <c r="E25" s="17">
        <v>26000</v>
      </c>
      <c r="F25" s="17">
        <f t="shared" si="0"/>
        <v>4940</v>
      </c>
      <c r="G25" s="5">
        <f t="shared" si="1"/>
        <v>30940</v>
      </c>
      <c r="H25" s="9">
        <f t="shared" si="2"/>
        <v>15470</v>
      </c>
      <c r="I25" s="15" t="s">
        <v>17</v>
      </c>
      <c r="J25" s="18">
        <v>46106</v>
      </c>
      <c r="K25" s="11" t="s">
        <v>32</v>
      </c>
      <c r="L25" s="7" t="s">
        <v>117</v>
      </c>
    </row>
    <row r="26" spans="1:12" x14ac:dyDescent="0.25">
      <c r="A26" s="19" t="s">
        <v>30</v>
      </c>
      <c r="B26" s="19" t="s">
        <v>3</v>
      </c>
      <c r="C26" s="13" t="s">
        <v>67</v>
      </c>
      <c r="D26" s="14">
        <v>3.4</v>
      </c>
      <c r="E26" s="17">
        <v>20500</v>
      </c>
      <c r="F26" s="17">
        <f t="shared" si="0"/>
        <v>3895</v>
      </c>
      <c r="G26" s="5">
        <f t="shared" si="1"/>
        <v>24395</v>
      </c>
      <c r="H26" s="9">
        <f t="shared" si="2"/>
        <v>7175</v>
      </c>
      <c r="I26" s="15" t="s">
        <v>20</v>
      </c>
      <c r="J26" s="18">
        <v>46106</v>
      </c>
      <c r="K26" s="11" t="s">
        <v>32</v>
      </c>
      <c r="L26" s="7" t="s">
        <v>130</v>
      </c>
    </row>
    <row r="27" spans="1:12" x14ac:dyDescent="0.25">
      <c r="A27" s="19" t="s">
        <v>131</v>
      </c>
      <c r="B27" s="19" t="s">
        <v>3</v>
      </c>
      <c r="C27" s="13" t="s">
        <v>68</v>
      </c>
      <c r="E27" s="17">
        <v>19900</v>
      </c>
      <c r="F27" s="17">
        <f t="shared" si="0"/>
        <v>3781</v>
      </c>
      <c r="G27" s="5">
        <f t="shared" si="1"/>
        <v>0</v>
      </c>
      <c r="H27" s="9">
        <f t="shared" si="2"/>
        <v>23681</v>
      </c>
      <c r="I27" s="15" t="s">
        <v>20</v>
      </c>
      <c r="J27" s="18">
        <v>46106</v>
      </c>
      <c r="K27" s="11" t="s">
        <v>32</v>
      </c>
      <c r="L27" s="7" t="s">
        <v>130</v>
      </c>
    </row>
    <row r="28" spans="1:12" x14ac:dyDescent="0.25">
      <c r="A28" s="19" t="s">
        <v>46</v>
      </c>
      <c r="B28" s="19" t="s">
        <v>3</v>
      </c>
      <c r="C28" s="13" t="s">
        <v>68</v>
      </c>
      <c r="E28" s="17">
        <v>19900</v>
      </c>
      <c r="F28" s="17">
        <f t="shared" si="0"/>
        <v>3781</v>
      </c>
      <c r="G28" s="5">
        <f t="shared" si="1"/>
        <v>0</v>
      </c>
      <c r="H28" s="9">
        <f t="shared" si="2"/>
        <v>23681</v>
      </c>
      <c r="I28" s="15" t="s">
        <v>20</v>
      </c>
      <c r="J28" s="18">
        <v>46106</v>
      </c>
      <c r="K28" s="11" t="s">
        <v>32</v>
      </c>
      <c r="L28" s="7" t="s">
        <v>130</v>
      </c>
    </row>
    <row r="29" spans="1:12" x14ac:dyDescent="0.25">
      <c r="A29" s="19" t="s">
        <v>132</v>
      </c>
      <c r="B29" s="19" t="s">
        <v>3</v>
      </c>
      <c r="C29" s="13" t="s">
        <v>68</v>
      </c>
      <c r="E29" s="17">
        <v>9990</v>
      </c>
      <c r="F29" s="17">
        <f t="shared" si="0"/>
        <v>1898.1</v>
      </c>
      <c r="G29" s="5">
        <f t="shared" si="1"/>
        <v>0</v>
      </c>
      <c r="H29" s="9">
        <f t="shared" si="2"/>
        <v>11888.1</v>
      </c>
      <c r="I29" s="15" t="s">
        <v>8</v>
      </c>
      <c r="J29" s="18">
        <v>46101</v>
      </c>
      <c r="K29" s="11" t="s">
        <v>32</v>
      </c>
      <c r="L29" s="7">
        <v>2312152156</v>
      </c>
    </row>
    <row r="30" spans="1:12" x14ac:dyDescent="0.25">
      <c r="A30" s="19" t="s">
        <v>29</v>
      </c>
      <c r="B30" s="19" t="s">
        <v>3</v>
      </c>
      <c r="C30" s="13" t="s">
        <v>68</v>
      </c>
      <c r="E30" s="17">
        <v>11900</v>
      </c>
      <c r="F30" s="17">
        <f t="shared" si="0"/>
        <v>2261</v>
      </c>
      <c r="G30" s="5">
        <f t="shared" si="1"/>
        <v>0</v>
      </c>
      <c r="H30" s="9">
        <f t="shared" si="2"/>
        <v>14161</v>
      </c>
      <c r="I30" s="15" t="s">
        <v>11</v>
      </c>
      <c r="J30" s="18">
        <v>46107</v>
      </c>
      <c r="K30" s="11" t="s">
        <v>32</v>
      </c>
      <c r="L30" s="7" t="s">
        <v>133</v>
      </c>
    </row>
    <row r="31" spans="1:12" x14ac:dyDescent="0.25">
      <c r="A31" s="19" t="s">
        <v>35</v>
      </c>
      <c r="B31" s="19" t="s">
        <v>3</v>
      </c>
      <c r="C31" s="13" t="s">
        <v>67</v>
      </c>
      <c r="D31" s="14">
        <v>3.1</v>
      </c>
      <c r="E31" s="17">
        <v>32500</v>
      </c>
      <c r="F31" s="17">
        <f t="shared" si="0"/>
        <v>6175</v>
      </c>
      <c r="G31" s="5">
        <f t="shared" si="1"/>
        <v>38675</v>
      </c>
      <c r="H31" s="9">
        <f t="shared" si="2"/>
        <v>12475.806451612903</v>
      </c>
      <c r="I31" s="15" t="s">
        <v>11</v>
      </c>
      <c r="J31" s="18">
        <v>46106</v>
      </c>
      <c r="K31" s="11" t="s">
        <v>32</v>
      </c>
      <c r="L31" s="7" t="s">
        <v>134</v>
      </c>
    </row>
    <row r="32" spans="1:12" x14ac:dyDescent="0.25">
      <c r="A32" s="19" t="s">
        <v>33</v>
      </c>
      <c r="B32" s="19" t="s">
        <v>5</v>
      </c>
      <c r="C32" s="13" t="s">
        <v>67</v>
      </c>
      <c r="D32" s="14">
        <v>3</v>
      </c>
      <c r="E32" s="17">
        <v>19327.73</v>
      </c>
      <c r="F32" s="17">
        <f t="shared" si="0"/>
        <v>3672.2687000000001</v>
      </c>
      <c r="G32" s="5">
        <f t="shared" si="1"/>
        <v>22999.9987</v>
      </c>
      <c r="H32" s="9">
        <f t="shared" si="2"/>
        <v>7666.6662333333334</v>
      </c>
      <c r="I32" s="15" t="s">
        <v>16</v>
      </c>
      <c r="J32" s="18">
        <v>46107</v>
      </c>
      <c r="K32" s="11" t="s">
        <v>32</v>
      </c>
      <c r="L32" s="7" t="s">
        <v>140</v>
      </c>
    </row>
    <row r="33" spans="1:12" x14ac:dyDescent="0.25">
      <c r="A33" s="19" t="s">
        <v>21</v>
      </c>
      <c r="B33" s="19" t="s">
        <v>3</v>
      </c>
      <c r="C33" s="13" t="s">
        <v>68</v>
      </c>
      <c r="E33" s="17">
        <v>8900</v>
      </c>
      <c r="F33" s="17">
        <f t="shared" si="0"/>
        <v>1691</v>
      </c>
      <c r="G33" s="5">
        <f t="shared" si="1"/>
        <v>0</v>
      </c>
      <c r="H33" s="9">
        <f t="shared" si="2"/>
        <v>10591</v>
      </c>
      <c r="I33" s="15" t="s">
        <v>11</v>
      </c>
      <c r="J33" s="18">
        <v>46111</v>
      </c>
      <c r="K33" s="11" t="s">
        <v>32</v>
      </c>
      <c r="L33" s="7" t="s">
        <v>141</v>
      </c>
    </row>
    <row r="34" spans="1:12" x14ac:dyDescent="0.25">
      <c r="A34" s="19" t="s">
        <v>142</v>
      </c>
      <c r="B34" s="15" t="s">
        <v>50</v>
      </c>
      <c r="C34" s="13" t="s">
        <v>67</v>
      </c>
      <c r="D34" s="14">
        <v>2.1</v>
      </c>
      <c r="E34" s="17">
        <v>44900</v>
      </c>
      <c r="F34" s="17">
        <f t="shared" si="0"/>
        <v>8531</v>
      </c>
      <c r="G34" s="5">
        <f t="shared" si="1"/>
        <v>53431</v>
      </c>
      <c r="H34" s="9">
        <f t="shared" si="2"/>
        <v>25443.333333333332</v>
      </c>
      <c r="I34" s="19" t="s">
        <v>22</v>
      </c>
      <c r="J34" s="18">
        <v>46107</v>
      </c>
      <c r="K34" s="11" t="s">
        <v>32</v>
      </c>
      <c r="L34" s="7" t="s">
        <v>143</v>
      </c>
    </row>
    <row r="35" spans="1:12" x14ac:dyDescent="0.25">
      <c r="A35" s="19" t="s">
        <v>13</v>
      </c>
      <c r="B35" s="15" t="s">
        <v>9</v>
      </c>
      <c r="C35" s="13" t="s">
        <v>67</v>
      </c>
      <c r="D35" s="14">
        <v>3.7</v>
      </c>
      <c r="E35" s="17">
        <v>37990</v>
      </c>
      <c r="F35" s="17">
        <f t="shared" si="0"/>
        <v>7218.1</v>
      </c>
      <c r="G35" s="5">
        <f t="shared" si="1"/>
        <v>45208.1</v>
      </c>
      <c r="H35" s="9">
        <f t="shared" si="2"/>
        <v>12218.405405405405</v>
      </c>
      <c r="I35" s="19" t="s">
        <v>8</v>
      </c>
      <c r="J35" s="18">
        <v>46109</v>
      </c>
      <c r="K35" s="11" t="s">
        <v>32</v>
      </c>
      <c r="L35" s="7">
        <v>2312154121</v>
      </c>
    </row>
  </sheetData>
  <conditionalFormatting sqref="C2:C35">
    <cfRule type="cellIs" dxfId="5" priority="5" operator="equal">
      <formula>"K"</formula>
    </cfRule>
    <cfRule type="cellIs" dxfId="4" priority="7" operator="equal">
      <formula>"M"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C40B2-62E7-486C-9743-3427A2FDF764}">
  <dimension ref="A1:M63"/>
  <sheetViews>
    <sheetView workbookViewId="0">
      <pane ySplit="1" topLeftCell="A32" activePane="bottomLeft" state="frozen"/>
      <selection pane="bottomLeft" activeCell="E9" sqref="E9"/>
    </sheetView>
  </sheetViews>
  <sheetFormatPr baseColWidth="10" defaultRowHeight="15" x14ac:dyDescent="0.25"/>
  <cols>
    <col min="1" max="1" width="25.42578125" customWidth="1"/>
    <col min="2" max="2" width="17.140625" customWidth="1"/>
    <col min="3" max="3" width="8.7109375" style="13" customWidth="1"/>
    <col min="4" max="4" width="8.42578125" style="12" customWidth="1"/>
    <col min="5" max="6" width="12.5703125" style="2" customWidth="1"/>
    <col min="7" max="7" width="16.42578125" style="5" customWidth="1"/>
    <col min="8" max="8" width="14.5703125" style="9" customWidth="1"/>
    <col min="9" max="9" width="25.7109375" customWidth="1"/>
    <col min="10" max="10" width="13.85546875" style="3" customWidth="1"/>
    <col min="11" max="11" width="11.42578125" style="8"/>
    <col min="12" max="12" width="17" style="8" customWidth="1"/>
    <col min="13" max="13" width="16.7109375" customWidth="1"/>
  </cols>
  <sheetData>
    <row r="1" spans="1:13" s="1" customFormat="1" ht="48" customHeight="1" thickTop="1" thickBot="1" x14ac:dyDescent="0.3">
      <c r="A1" s="22" t="s">
        <v>0</v>
      </c>
      <c r="B1" s="22" t="s">
        <v>57</v>
      </c>
      <c r="C1" s="23" t="s">
        <v>152</v>
      </c>
      <c r="D1" s="22" t="s">
        <v>69</v>
      </c>
      <c r="E1" s="27" t="s">
        <v>27</v>
      </c>
      <c r="F1" s="28">
        <v>0.19</v>
      </c>
      <c r="G1" s="29" t="s">
        <v>18</v>
      </c>
      <c r="H1" s="27" t="s">
        <v>19</v>
      </c>
      <c r="I1" s="22" t="s">
        <v>1</v>
      </c>
      <c r="J1" s="22" t="s">
        <v>2</v>
      </c>
      <c r="K1" s="22" t="s">
        <v>28</v>
      </c>
      <c r="L1" s="22" t="s">
        <v>127</v>
      </c>
      <c r="M1" s="23" t="s">
        <v>66</v>
      </c>
    </row>
    <row r="2" spans="1:13" x14ac:dyDescent="0.25">
      <c r="A2" t="s">
        <v>62</v>
      </c>
      <c r="B2" t="s">
        <v>3</v>
      </c>
      <c r="C2" s="13" t="s">
        <v>68</v>
      </c>
      <c r="E2" s="2">
        <v>9900</v>
      </c>
      <c r="F2" s="2">
        <f t="shared" ref="F2:F57" si="0">E2*$F$1</f>
        <v>1881</v>
      </c>
      <c r="G2" s="5">
        <f t="shared" ref="G2:G49" si="1">IF(C2="K",E2+F2,0)</f>
        <v>0</v>
      </c>
      <c r="H2" s="9">
        <f t="shared" ref="H2:H49" si="2">IF(C2="M",E2+F2,IF(C2="K",G2/D2,0))</f>
        <v>11781</v>
      </c>
      <c r="I2" s="6" t="s">
        <v>8</v>
      </c>
      <c r="J2" s="4">
        <v>46098</v>
      </c>
      <c r="K2" s="8">
        <v>2312151333</v>
      </c>
    </row>
    <row r="3" spans="1:13" s="6" customFormat="1" x14ac:dyDescent="0.25">
      <c r="A3" s="6" t="s">
        <v>35</v>
      </c>
      <c r="B3" s="6" t="s">
        <v>9</v>
      </c>
      <c r="C3" s="13" t="s">
        <v>67</v>
      </c>
      <c r="D3" s="12">
        <v>3.1</v>
      </c>
      <c r="E3" s="2">
        <v>32500</v>
      </c>
      <c r="F3" s="2">
        <f t="shared" si="0"/>
        <v>6175</v>
      </c>
      <c r="G3" s="5">
        <f t="shared" si="1"/>
        <v>38675</v>
      </c>
      <c r="H3" s="9">
        <f t="shared" si="2"/>
        <v>12475.806451612903</v>
      </c>
      <c r="I3" s="6" t="s">
        <v>11</v>
      </c>
      <c r="J3" s="4">
        <v>46098</v>
      </c>
      <c r="K3" s="8" t="s">
        <v>70</v>
      </c>
      <c r="L3" s="8"/>
    </row>
    <row r="4" spans="1:13" s="6" customFormat="1" x14ac:dyDescent="0.25">
      <c r="A4" s="6" t="s">
        <v>79</v>
      </c>
      <c r="B4" s="6" t="s">
        <v>3</v>
      </c>
      <c r="C4" s="13" t="s">
        <v>68</v>
      </c>
      <c r="D4" s="12"/>
      <c r="E4" s="2">
        <v>12990</v>
      </c>
      <c r="F4" s="2">
        <f t="shared" si="0"/>
        <v>2468.1</v>
      </c>
      <c r="G4" s="5">
        <f t="shared" si="1"/>
        <v>0</v>
      </c>
      <c r="H4" s="9">
        <f t="shared" si="2"/>
        <v>15458.1</v>
      </c>
      <c r="I4" s="6" t="s">
        <v>8</v>
      </c>
      <c r="J4" s="4">
        <v>46099</v>
      </c>
      <c r="K4" s="8">
        <v>2312151430</v>
      </c>
      <c r="L4" s="8" t="s">
        <v>129</v>
      </c>
    </row>
    <row r="5" spans="1:13" x14ac:dyDescent="0.25">
      <c r="A5" t="s">
        <v>80</v>
      </c>
      <c r="B5" t="s">
        <v>60</v>
      </c>
      <c r="C5" s="13" t="s">
        <v>68</v>
      </c>
      <c r="E5" s="2">
        <v>12990</v>
      </c>
      <c r="F5" s="2">
        <f t="shared" si="0"/>
        <v>2468.1</v>
      </c>
      <c r="G5" s="5">
        <f t="shared" si="1"/>
        <v>0</v>
      </c>
      <c r="H5" s="9">
        <f t="shared" si="2"/>
        <v>15458.1</v>
      </c>
      <c r="I5" s="6" t="s">
        <v>8</v>
      </c>
      <c r="J5" s="4">
        <v>46099</v>
      </c>
      <c r="K5" s="8">
        <v>2312151430</v>
      </c>
      <c r="L5" s="8" t="s">
        <v>129</v>
      </c>
    </row>
    <row r="6" spans="1:13" x14ac:dyDescent="0.25">
      <c r="A6" t="s">
        <v>81</v>
      </c>
      <c r="B6" t="s">
        <v>60</v>
      </c>
      <c r="C6" s="13" t="s">
        <v>68</v>
      </c>
      <c r="E6" s="2">
        <v>12990</v>
      </c>
      <c r="F6" s="2">
        <f t="shared" si="0"/>
        <v>2468.1</v>
      </c>
      <c r="G6" s="5">
        <f t="shared" si="1"/>
        <v>0</v>
      </c>
      <c r="H6" s="9">
        <f t="shared" si="2"/>
        <v>15458.1</v>
      </c>
      <c r="I6" s="6" t="s">
        <v>8</v>
      </c>
      <c r="J6" s="4">
        <v>46099</v>
      </c>
      <c r="K6" s="8">
        <v>2312151430</v>
      </c>
      <c r="L6" s="8" t="s">
        <v>129</v>
      </c>
    </row>
    <row r="7" spans="1:13" x14ac:dyDescent="0.25">
      <c r="A7" t="s">
        <v>82</v>
      </c>
      <c r="B7" t="s">
        <v>59</v>
      </c>
      <c r="C7" s="13" t="s">
        <v>68</v>
      </c>
      <c r="E7" s="2">
        <v>8990</v>
      </c>
      <c r="F7" s="2">
        <f t="shared" si="0"/>
        <v>1708.1</v>
      </c>
      <c r="G7" s="5">
        <f t="shared" si="1"/>
        <v>0</v>
      </c>
      <c r="H7" s="9">
        <f t="shared" si="2"/>
        <v>10698.1</v>
      </c>
      <c r="I7" s="6" t="s">
        <v>8</v>
      </c>
      <c r="J7" s="4">
        <v>46099</v>
      </c>
      <c r="K7" s="8">
        <v>2312151430</v>
      </c>
      <c r="L7" s="8" t="s">
        <v>129</v>
      </c>
    </row>
    <row r="8" spans="1:13" x14ac:dyDescent="0.25">
      <c r="A8" t="s">
        <v>83</v>
      </c>
      <c r="B8" t="s">
        <v>3</v>
      </c>
      <c r="C8" s="13" t="s">
        <v>67</v>
      </c>
      <c r="E8" s="2">
        <v>39990</v>
      </c>
      <c r="F8" s="2">
        <f t="shared" si="0"/>
        <v>7598.1</v>
      </c>
      <c r="G8" s="5">
        <f t="shared" si="1"/>
        <v>47588.1</v>
      </c>
      <c r="H8" s="9" t="e">
        <f t="shared" si="2"/>
        <v>#DIV/0!</v>
      </c>
      <c r="I8" s="6" t="s">
        <v>8</v>
      </c>
      <c r="J8" s="4">
        <v>46099</v>
      </c>
      <c r="K8" s="8">
        <v>2312151430</v>
      </c>
      <c r="L8" s="8" t="s">
        <v>129</v>
      </c>
    </row>
    <row r="9" spans="1:13" x14ac:dyDescent="0.25">
      <c r="A9" t="s">
        <v>84</v>
      </c>
      <c r="B9" t="s">
        <v>60</v>
      </c>
      <c r="C9" s="13" t="s">
        <v>68</v>
      </c>
      <c r="E9" s="2">
        <v>15990</v>
      </c>
      <c r="F9" s="2">
        <f t="shared" si="0"/>
        <v>3038.1</v>
      </c>
      <c r="G9" s="5">
        <f t="shared" si="1"/>
        <v>0</v>
      </c>
      <c r="H9" s="9">
        <f t="shared" si="2"/>
        <v>19028.099999999999</v>
      </c>
      <c r="I9" s="6" t="s">
        <v>8</v>
      </c>
      <c r="J9" s="4">
        <v>46099</v>
      </c>
      <c r="K9" s="8">
        <v>2312151430</v>
      </c>
      <c r="L9" s="8" t="s">
        <v>129</v>
      </c>
    </row>
    <row r="10" spans="1:13" x14ac:dyDescent="0.25">
      <c r="A10" t="s">
        <v>85</v>
      </c>
      <c r="B10" t="s">
        <v>60</v>
      </c>
      <c r="C10" s="13" t="s">
        <v>68</v>
      </c>
      <c r="E10" s="2">
        <v>13990</v>
      </c>
      <c r="F10" s="2">
        <f t="shared" si="0"/>
        <v>2658.1</v>
      </c>
      <c r="G10" s="5">
        <f t="shared" si="1"/>
        <v>0</v>
      </c>
      <c r="H10" s="9">
        <f t="shared" si="2"/>
        <v>16648.099999999999</v>
      </c>
      <c r="I10" s="6" t="s">
        <v>8</v>
      </c>
      <c r="J10" s="4">
        <v>46099</v>
      </c>
      <c r="K10" s="8">
        <v>2312151430</v>
      </c>
      <c r="L10" s="8" t="s">
        <v>129</v>
      </c>
    </row>
    <row r="11" spans="1:13" x14ac:dyDescent="0.25">
      <c r="A11" t="s">
        <v>86</v>
      </c>
      <c r="B11" t="s">
        <v>60</v>
      </c>
      <c r="C11" s="13" t="s">
        <v>68</v>
      </c>
      <c r="E11" s="2">
        <v>15990</v>
      </c>
      <c r="F11" s="2">
        <f t="shared" si="0"/>
        <v>3038.1</v>
      </c>
      <c r="G11" s="5">
        <f t="shared" si="1"/>
        <v>0</v>
      </c>
      <c r="H11" s="9">
        <f t="shared" si="2"/>
        <v>19028.099999999999</v>
      </c>
      <c r="I11" s="6" t="s">
        <v>8</v>
      </c>
      <c r="J11" s="4">
        <v>46099</v>
      </c>
      <c r="K11" s="8">
        <v>2312151430</v>
      </c>
      <c r="L11" s="8" t="s">
        <v>129</v>
      </c>
    </row>
    <row r="12" spans="1:13" x14ac:dyDescent="0.25">
      <c r="A12" t="s">
        <v>87</v>
      </c>
      <c r="B12" t="s">
        <v>60</v>
      </c>
      <c r="C12" s="13" t="s">
        <v>68</v>
      </c>
      <c r="E12" s="2">
        <v>13990</v>
      </c>
      <c r="F12" s="2">
        <f t="shared" si="0"/>
        <v>2658.1</v>
      </c>
      <c r="G12" s="5">
        <f t="shared" si="1"/>
        <v>0</v>
      </c>
      <c r="H12" s="9">
        <f t="shared" si="2"/>
        <v>16648.099999999999</v>
      </c>
      <c r="I12" s="6" t="s">
        <v>8</v>
      </c>
      <c r="J12" s="4">
        <v>46099</v>
      </c>
      <c r="K12" s="8">
        <v>2312151430</v>
      </c>
      <c r="L12" s="8" t="s">
        <v>129</v>
      </c>
    </row>
    <row r="13" spans="1:13" x14ac:dyDescent="0.25">
      <c r="A13" t="s">
        <v>13</v>
      </c>
      <c r="B13" t="s">
        <v>3</v>
      </c>
      <c r="C13" s="13" t="s">
        <v>67</v>
      </c>
      <c r="D13" s="12">
        <v>2.7</v>
      </c>
      <c r="E13" s="2">
        <v>31990</v>
      </c>
      <c r="F13" s="2">
        <f t="shared" si="0"/>
        <v>6078.1</v>
      </c>
      <c r="G13" s="5">
        <f t="shared" si="1"/>
        <v>38068.1</v>
      </c>
      <c r="H13" s="9">
        <f t="shared" si="2"/>
        <v>14099.296296296296</v>
      </c>
      <c r="I13" s="6" t="s">
        <v>8</v>
      </c>
      <c r="J13" s="4">
        <v>46099</v>
      </c>
      <c r="K13" s="8">
        <v>2312151427</v>
      </c>
      <c r="L13" s="8" t="s">
        <v>129</v>
      </c>
    </row>
    <row r="14" spans="1:13" x14ac:dyDescent="0.25">
      <c r="A14" t="s">
        <v>83</v>
      </c>
      <c r="B14" t="s">
        <v>3</v>
      </c>
      <c r="C14" s="13" t="s">
        <v>67</v>
      </c>
      <c r="E14" s="2">
        <v>39990</v>
      </c>
      <c r="F14" s="2">
        <f t="shared" si="0"/>
        <v>7598.1</v>
      </c>
      <c r="G14" s="5">
        <f t="shared" si="1"/>
        <v>47588.1</v>
      </c>
      <c r="H14" s="9" t="e">
        <f t="shared" si="2"/>
        <v>#DIV/0!</v>
      </c>
      <c r="I14" s="6" t="s">
        <v>8</v>
      </c>
      <c r="J14" s="4">
        <v>46099</v>
      </c>
      <c r="K14" s="8">
        <v>2312151427</v>
      </c>
      <c r="L14" s="8" t="s">
        <v>129</v>
      </c>
    </row>
    <row r="15" spans="1:13" x14ac:dyDescent="0.25">
      <c r="A15" t="s">
        <v>42</v>
      </c>
      <c r="B15" t="s">
        <v>60</v>
      </c>
      <c r="C15" s="13" t="s">
        <v>68</v>
      </c>
      <c r="E15" s="2">
        <v>8490</v>
      </c>
      <c r="F15" s="2">
        <f t="shared" si="0"/>
        <v>1613.1</v>
      </c>
      <c r="G15" s="5">
        <f t="shared" si="1"/>
        <v>0</v>
      </c>
      <c r="H15" s="9">
        <f t="shared" si="2"/>
        <v>10103.1</v>
      </c>
      <c r="I15" s="6" t="s">
        <v>8</v>
      </c>
      <c r="J15" s="4">
        <v>46099</v>
      </c>
      <c r="K15" s="8">
        <v>2312151427</v>
      </c>
      <c r="L15" s="8" t="s">
        <v>129</v>
      </c>
    </row>
    <row r="16" spans="1:13" x14ac:dyDescent="0.25">
      <c r="A16" t="s">
        <v>88</v>
      </c>
      <c r="B16" t="s">
        <v>3</v>
      </c>
      <c r="C16" s="13" t="s">
        <v>68</v>
      </c>
      <c r="E16" s="2">
        <v>21990</v>
      </c>
      <c r="F16" s="2">
        <f t="shared" si="0"/>
        <v>4178.1000000000004</v>
      </c>
      <c r="G16" s="5">
        <f t="shared" si="1"/>
        <v>0</v>
      </c>
      <c r="H16" s="9">
        <f t="shared" si="2"/>
        <v>26168.1</v>
      </c>
      <c r="I16" s="6" t="s">
        <v>8</v>
      </c>
      <c r="J16" s="4">
        <v>46099</v>
      </c>
      <c r="K16" s="8">
        <v>2312151427</v>
      </c>
      <c r="L16" s="8" t="s">
        <v>129</v>
      </c>
    </row>
    <row r="17" spans="1:12" x14ac:dyDescent="0.25">
      <c r="A17" t="s">
        <v>89</v>
      </c>
      <c r="B17" t="s">
        <v>59</v>
      </c>
      <c r="C17" s="13" t="s">
        <v>68</v>
      </c>
      <c r="E17" s="2">
        <v>9990</v>
      </c>
      <c r="F17" s="2">
        <f t="shared" si="0"/>
        <v>1898.1</v>
      </c>
      <c r="G17" s="5">
        <f t="shared" si="1"/>
        <v>0</v>
      </c>
      <c r="H17" s="9">
        <f t="shared" si="2"/>
        <v>11888.1</v>
      </c>
      <c r="I17" s="6" t="s">
        <v>8</v>
      </c>
      <c r="J17" s="4">
        <v>46099</v>
      </c>
      <c r="K17" s="8">
        <v>2312151427</v>
      </c>
      <c r="L17" s="8" t="s">
        <v>129</v>
      </c>
    </row>
    <row r="18" spans="1:12" x14ac:dyDescent="0.25">
      <c r="A18" t="s">
        <v>90</v>
      </c>
      <c r="B18" t="s">
        <v>59</v>
      </c>
      <c r="C18" s="13" t="s">
        <v>67</v>
      </c>
      <c r="E18" s="2">
        <v>39990</v>
      </c>
      <c r="F18" s="2">
        <f t="shared" si="0"/>
        <v>7598.1</v>
      </c>
      <c r="G18" s="5">
        <f t="shared" si="1"/>
        <v>47588.1</v>
      </c>
      <c r="H18" s="9" t="e">
        <f t="shared" si="2"/>
        <v>#DIV/0!</v>
      </c>
      <c r="I18" s="6" t="s">
        <v>8</v>
      </c>
      <c r="J18" s="4">
        <v>46099</v>
      </c>
      <c r="K18" s="8">
        <v>2312151429</v>
      </c>
      <c r="L18" s="8" t="s">
        <v>129</v>
      </c>
    </row>
    <row r="19" spans="1:12" x14ac:dyDescent="0.25">
      <c r="A19" t="s">
        <v>91</v>
      </c>
      <c r="B19" t="s">
        <v>59</v>
      </c>
      <c r="C19" s="13" t="s">
        <v>68</v>
      </c>
      <c r="E19" s="2">
        <v>13990</v>
      </c>
      <c r="F19" s="2">
        <f t="shared" si="0"/>
        <v>2658.1</v>
      </c>
      <c r="G19" s="5">
        <f t="shared" si="1"/>
        <v>0</v>
      </c>
      <c r="H19" s="9">
        <f t="shared" si="2"/>
        <v>16648.099999999999</v>
      </c>
      <c r="I19" s="6" t="s">
        <v>8</v>
      </c>
      <c r="J19" s="4">
        <v>46099</v>
      </c>
      <c r="K19" s="8">
        <v>2312151429</v>
      </c>
      <c r="L19" s="8" t="s">
        <v>129</v>
      </c>
    </row>
    <row r="20" spans="1:12" x14ac:dyDescent="0.25">
      <c r="A20" t="s">
        <v>92</v>
      </c>
      <c r="B20" t="s">
        <v>59</v>
      </c>
      <c r="C20" s="13" t="s">
        <v>68</v>
      </c>
      <c r="E20" s="2">
        <v>8990</v>
      </c>
      <c r="F20" s="2">
        <f t="shared" si="0"/>
        <v>1708.1</v>
      </c>
      <c r="G20" s="5">
        <f t="shared" si="1"/>
        <v>0</v>
      </c>
      <c r="H20" s="9">
        <f t="shared" si="2"/>
        <v>10698.1</v>
      </c>
      <c r="I20" s="6" t="s">
        <v>8</v>
      </c>
      <c r="J20" s="4">
        <v>46099</v>
      </c>
      <c r="K20" s="8">
        <v>2312151429</v>
      </c>
      <c r="L20" s="8" t="s">
        <v>129</v>
      </c>
    </row>
    <row r="21" spans="1:12" x14ac:dyDescent="0.25">
      <c r="A21" t="s">
        <v>93</v>
      </c>
      <c r="B21" t="s">
        <v>3</v>
      </c>
      <c r="C21" s="13" t="s">
        <v>68</v>
      </c>
      <c r="E21" s="2">
        <v>11990</v>
      </c>
      <c r="F21" s="2">
        <f t="shared" si="0"/>
        <v>2278.1</v>
      </c>
      <c r="G21" s="5">
        <f t="shared" si="1"/>
        <v>0</v>
      </c>
      <c r="H21" s="9">
        <f t="shared" si="2"/>
        <v>14268.1</v>
      </c>
      <c r="I21" s="6" t="s">
        <v>8</v>
      </c>
      <c r="J21" s="4">
        <v>46099</v>
      </c>
      <c r="K21" s="8">
        <v>2312151429</v>
      </c>
      <c r="L21" s="8" t="s">
        <v>129</v>
      </c>
    </row>
    <row r="22" spans="1:12" x14ac:dyDescent="0.25">
      <c r="A22" t="s">
        <v>94</v>
      </c>
      <c r="B22" t="s">
        <v>3</v>
      </c>
      <c r="C22" s="13" t="s">
        <v>68</v>
      </c>
      <c r="E22" s="2">
        <v>10990</v>
      </c>
      <c r="F22" s="2">
        <f t="shared" si="0"/>
        <v>2088.1</v>
      </c>
      <c r="G22" s="5">
        <f t="shared" si="1"/>
        <v>0</v>
      </c>
      <c r="H22" s="9">
        <f t="shared" si="2"/>
        <v>13078.1</v>
      </c>
      <c r="I22" s="6" t="s">
        <v>8</v>
      </c>
      <c r="J22" s="4">
        <v>46099</v>
      </c>
      <c r="K22" s="8">
        <v>2312151429</v>
      </c>
      <c r="L22" s="8" t="s">
        <v>129</v>
      </c>
    </row>
    <row r="23" spans="1:12" x14ac:dyDescent="0.25">
      <c r="A23" t="s">
        <v>95</v>
      </c>
      <c r="B23" t="s">
        <v>59</v>
      </c>
      <c r="C23" s="13" t="s">
        <v>68</v>
      </c>
      <c r="E23" s="2">
        <v>13990</v>
      </c>
      <c r="F23" s="2">
        <f t="shared" si="0"/>
        <v>2658.1</v>
      </c>
      <c r="G23" s="5">
        <f t="shared" si="1"/>
        <v>0</v>
      </c>
      <c r="H23" s="9">
        <f t="shared" si="2"/>
        <v>16648.099999999999</v>
      </c>
      <c r="I23" s="6" t="s">
        <v>8</v>
      </c>
      <c r="J23" s="4">
        <v>46099</v>
      </c>
      <c r="K23" s="8">
        <v>2312151429</v>
      </c>
      <c r="L23" s="8" t="s">
        <v>129</v>
      </c>
    </row>
    <row r="24" spans="1:12" x14ac:dyDescent="0.25">
      <c r="A24" t="s">
        <v>96</v>
      </c>
      <c r="B24" t="s">
        <v>3</v>
      </c>
      <c r="C24" s="13" t="s">
        <v>68</v>
      </c>
      <c r="E24" s="2">
        <v>9990</v>
      </c>
      <c r="F24" s="2">
        <f t="shared" si="0"/>
        <v>1898.1</v>
      </c>
      <c r="G24" s="5">
        <f t="shared" si="1"/>
        <v>0</v>
      </c>
      <c r="H24" s="9">
        <f t="shared" si="2"/>
        <v>11888.1</v>
      </c>
      <c r="I24" s="6" t="s">
        <v>8</v>
      </c>
      <c r="J24" s="4">
        <v>46105</v>
      </c>
      <c r="K24" s="8">
        <v>2312152591</v>
      </c>
      <c r="L24" s="8" t="s">
        <v>129</v>
      </c>
    </row>
    <row r="25" spans="1:12" x14ac:dyDescent="0.25">
      <c r="A25" t="s">
        <v>38</v>
      </c>
      <c r="B25" t="s">
        <v>3</v>
      </c>
      <c r="C25" s="13" t="s">
        <v>68</v>
      </c>
      <c r="E25" s="2">
        <v>10990</v>
      </c>
      <c r="F25" s="2">
        <f t="shared" si="0"/>
        <v>2088.1</v>
      </c>
      <c r="G25" s="5">
        <f t="shared" si="1"/>
        <v>0</v>
      </c>
      <c r="H25" s="9">
        <f t="shared" si="2"/>
        <v>13078.1</v>
      </c>
      <c r="I25" s="6" t="s">
        <v>8</v>
      </c>
      <c r="J25" s="4">
        <v>46105</v>
      </c>
      <c r="K25" s="8">
        <v>2312152591</v>
      </c>
      <c r="L25" s="8" t="s">
        <v>129</v>
      </c>
    </row>
    <row r="26" spans="1:12" x14ac:dyDescent="0.25">
      <c r="A26" t="s">
        <v>97</v>
      </c>
      <c r="B26" t="s">
        <v>60</v>
      </c>
      <c r="C26" s="13" t="s">
        <v>68</v>
      </c>
      <c r="E26" s="2">
        <v>13990</v>
      </c>
      <c r="F26" s="2">
        <f t="shared" si="0"/>
        <v>2658.1</v>
      </c>
      <c r="G26" s="5">
        <f t="shared" si="1"/>
        <v>0</v>
      </c>
      <c r="H26" s="9">
        <f t="shared" si="2"/>
        <v>16648.099999999999</v>
      </c>
      <c r="I26" s="6" t="s">
        <v>8</v>
      </c>
      <c r="J26" s="4">
        <v>46105</v>
      </c>
      <c r="K26" s="8">
        <v>2312152591</v>
      </c>
      <c r="L26" s="8" t="s">
        <v>129</v>
      </c>
    </row>
    <row r="27" spans="1:12" x14ac:dyDescent="0.25">
      <c r="A27" t="s">
        <v>98</v>
      </c>
      <c r="B27" t="s">
        <v>60</v>
      </c>
      <c r="C27" s="13" t="s">
        <v>68</v>
      </c>
      <c r="E27" s="2">
        <v>9990</v>
      </c>
      <c r="F27" s="2">
        <f t="shared" si="0"/>
        <v>1898.1</v>
      </c>
      <c r="G27" s="5">
        <f t="shared" si="1"/>
        <v>0</v>
      </c>
      <c r="H27" s="9">
        <f t="shared" si="2"/>
        <v>11888.1</v>
      </c>
      <c r="I27" s="6" t="s">
        <v>8</v>
      </c>
      <c r="J27" s="4">
        <v>46105</v>
      </c>
      <c r="K27" s="8">
        <v>2312152591</v>
      </c>
      <c r="L27" s="8" t="s">
        <v>129</v>
      </c>
    </row>
    <row r="28" spans="1:12" x14ac:dyDescent="0.25">
      <c r="A28" t="s">
        <v>99</v>
      </c>
      <c r="B28" t="s">
        <v>3</v>
      </c>
      <c r="C28" s="13" t="s">
        <v>68</v>
      </c>
      <c r="E28" s="2">
        <v>9990</v>
      </c>
      <c r="F28" s="2">
        <f t="shared" si="0"/>
        <v>1898.1</v>
      </c>
      <c r="G28" s="5">
        <f t="shared" si="1"/>
        <v>0</v>
      </c>
      <c r="H28" s="9">
        <f t="shared" si="2"/>
        <v>11888.1</v>
      </c>
      <c r="I28" s="6" t="s">
        <v>8</v>
      </c>
      <c r="J28" s="4">
        <v>46105</v>
      </c>
      <c r="K28" s="8">
        <v>2312152591</v>
      </c>
      <c r="L28" s="8" t="s">
        <v>129</v>
      </c>
    </row>
    <row r="29" spans="1:12" x14ac:dyDescent="0.25">
      <c r="A29" t="s">
        <v>100</v>
      </c>
      <c r="B29" t="s">
        <v>3</v>
      </c>
      <c r="C29" s="13" t="s">
        <v>68</v>
      </c>
      <c r="E29" s="2">
        <v>13990</v>
      </c>
      <c r="F29" s="2">
        <f t="shared" si="0"/>
        <v>2658.1</v>
      </c>
      <c r="G29" s="5">
        <f t="shared" si="1"/>
        <v>0</v>
      </c>
      <c r="H29" s="9">
        <f t="shared" si="2"/>
        <v>16648.099999999999</v>
      </c>
      <c r="I29" s="6" t="s">
        <v>8</v>
      </c>
      <c r="J29" s="4">
        <v>46105</v>
      </c>
      <c r="K29" s="8">
        <v>2312152591</v>
      </c>
      <c r="L29" s="8" t="s">
        <v>129</v>
      </c>
    </row>
    <row r="30" spans="1:12" x14ac:dyDescent="0.25">
      <c r="A30" t="s">
        <v>101</v>
      </c>
      <c r="B30" t="s">
        <v>3</v>
      </c>
      <c r="C30" s="13" t="s">
        <v>68</v>
      </c>
      <c r="E30" s="2">
        <v>8990</v>
      </c>
      <c r="F30" s="2">
        <f t="shared" si="0"/>
        <v>1708.1</v>
      </c>
      <c r="G30" s="5">
        <f t="shared" si="1"/>
        <v>0</v>
      </c>
      <c r="H30" s="9">
        <f t="shared" si="2"/>
        <v>10698.1</v>
      </c>
      <c r="I30" s="6" t="s">
        <v>8</v>
      </c>
      <c r="J30" s="4">
        <v>46105</v>
      </c>
      <c r="K30" s="8">
        <v>2312152591</v>
      </c>
      <c r="L30" s="8" t="s">
        <v>129</v>
      </c>
    </row>
    <row r="31" spans="1:12" x14ac:dyDescent="0.25">
      <c r="A31" t="s">
        <v>102</v>
      </c>
      <c r="B31" t="s">
        <v>9</v>
      </c>
      <c r="C31" s="13" t="s">
        <v>67</v>
      </c>
      <c r="E31" s="2">
        <v>34990</v>
      </c>
      <c r="F31" s="2">
        <f t="shared" si="0"/>
        <v>6648.1</v>
      </c>
      <c r="G31" s="5">
        <f t="shared" si="1"/>
        <v>41638.1</v>
      </c>
      <c r="H31" s="9" t="e">
        <f t="shared" si="2"/>
        <v>#DIV/0!</v>
      </c>
      <c r="I31" s="6" t="s">
        <v>8</v>
      </c>
      <c r="J31" s="4">
        <v>46105</v>
      </c>
      <c r="K31" s="8">
        <v>2312152591</v>
      </c>
      <c r="L31" s="8" t="s">
        <v>129</v>
      </c>
    </row>
    <row r="32" spans="1:12" x14ac:dyDescent="0.25">
      <c r="A32" t="s">
        <v>103</v>
      </c>
      <c r="B32" t="s">
        <v>60</v>
      </c>
      <c r="C32" s="13" t="s">
        <v>67</v>
      </c>
      <c r="E32" s="2">
        <v>69990</v>
      </c>
      <c r="F32" s="2">
        <f t="shared" si="0"/>
        <v>13298.1</v>
      </c>
      <c r="G32" s="5">
        <f t="shared" si="1"/>
        <v>83288.100000000006</v>
      </c>
      <c r="H32" s="9" t="e">
        <f t="shared" si="2"/>
        <v>#DIV/0!</v>
      </c>
      <c r="I32" s="6" t="s">
        <v>8</v>
      </c>
      <c r="J32" s="4">
        <v>46105</v>
      </c>
      <c r="K32" s="8">
        <v>2312152591</v>
      </c>
      <c r="L32" s="8" t="s">
        <v>129</v>
      </c>
    </row>
    <row r="33" spans="1:12" x14ac:dyDescent="0.25">
      <c r="A33" t="s">
        <v>104</v>
      </c>
      <c r="B33" t="s">
        <v>60</v>
      </c>
      <c r="C33" s="13" t="s">
        <v>68</v>
      </c>
      <c r="E33" s="2">
        <v>12990</v>
      </c>
      <c r="F33" s="2">
        <f t="shared" si="0"/>
        <v>2468.1</v>
      </c>
      <c r="G33" s="5">
        <f t="shared" si="1"/>
        <v>0</v>
      </c>
      <c r="H33" s="9">
        <f t="shared" si="2"/>
        <v>15458.1</v>
      </c>
      <c r="I33" s="6" t="s">
        <v>8</v>
      </c>
      <c r="J33" s="4">
        <v>46105</v>
      </c>
      <c r="K33" s="8">
        <v>2312152591</v>
      </c>
      <c r="L33" s="8" t="s">
        <v>129</v>
      </c>
    </row>
    <row r="34" spans="1:12" x14ac:dyDescent="0.25">
      <c r="A34" t="s">
        <v>105</v>
      </c>
      <c r="B34" t="s">
        <v>3</v>
      </c>
      <c r="C34" s="13" t="s">
        <v>68</v>
      </c>
      <c r="E34" s="2">
        <v>14990</v>
      </c>
      <c r="F34" s="2">
        <f t="shared" si="0"/>
        <v>2848.1</v>
      </c>
      <c r="G34" s="5">
        <f t="shared" si="1"/>
        <v>0</v>
      </c>
      <c r="H34" s="9">
        <f t="shared" si="2"/>
        <v>17838.099999999999</v>
      </c>
      <c r="I34" s="6" t="s">
        <v>8</v>
      </c>
      <c r="J34" s="4">
        <v>46102</v>
      </c>
      <c r="K34" s="8">
        <v>2312152384</v>
      </c>
      <c r="L34" s="8" t="s">
        <v>129</v>
      </c>
    </row>
    <row r="35" spans="1:12" x14ac:dyDescent="0.25">
      <c r="A35" t="s">
        <v>106</v>
      </c>
      <c r="B35" t="s">
        <v>7</v>
      </c>
      <c r="C35" s="13" t="s">
        <v>68</v>
      </c>
      <c r="E35" s="2">
        <v>8990</v>
      </c>
      <c r="F35" s="2">
        <f t="shared" si="0"/>
        <v>1708.1</v>
      </c>
      <c r="G35" s="5">
        <f t="shared" si="1"/>
        <v>0</v>
      </c>
      <c r="H35" s="9">
        <f t="shared" si="2"/>
        <v>10698.1</v>
      </c>
      <c r="I35" s="6" t="s">
        <v>8</v>
      </c>
      <c r="J35" s="4">
        <v>46102</v>
      </c>
      <c r="K35" s="8">
        <v>2312152384</v>
      </c>
      <c r="L35" s="8" t="s">
        <v>129</v>
      </c>
    </row>
    <row r="36" spans="1:12" x14ac:dyDescent="0.25">
      <c r="A36" t="s">
        <v>107</v>
      </c>
      <c r="B36" t="s">
        <v>7</v>
      </c>
      <c r="C36" s="13" t="s">
        <v>68</v>
      </c>
      <c r="E36" s="2">
        <v>12990</v>
      </c>
      <c r="F36" s="2">
        <f t="shared" si="0"/>
        <v>2468.1</v>
      </c>
      <c r="G36" s="5">
        <f t="shared" si="1"/>
        <v>0</v>
      </c>
      <c r="H36" s="9">
        <f t="shared" si="2"/>
        <v>15458.1</v>
      </c>
      <c r="I36" s="6" t="s">
        <v>8</v>
      </c>
      <c r="J36" s="4">
        <v>46102</v>
      </c>
      <c r="K36" s="8">
        <v>2312152384</v>
      </c>
      <c r="L36" s="8" t="s">
        <v>129</v>
      </c>
    </row>
    <row r="37" spans="1:12" x14ac:dyDescent="0.25">
      <c r="A37" t="s">
        <v>108</v>
      </c>
      <c r="B37" t="s">
        <v>60</v>
      </c>
      <c r="C37" s="13" t="s">
        <v>67</v>
      </c>
      <c r="E37" s="2">
        <v>71990</v>
      </c>
      <c r="F37" s="2">
        <f t="shared" si="0"/>
        <v>13678.1</v>
      </c>
      <c r="G37" s="5">
        <f t="shared" si="1"/>
        <v>85668.1</v>
      </c>
      <c r="H37" s="9" t="e">
        <f t="shared" si="2"/>
        <v>#DIV/0!</v>
      </c>
      <c r="I37" s="6" t="s">
        <v>8</v>
      </c>
      <c r="J37" s="4">
        <v>46102</v>
      </c>
      <c r="K37" s="8">
        <v>2312152384</v>
      </c>
      <c r="L37" s="8" t="s">
        <v>129</v>
      </c>
    </row>
    <row r="38" spans="1:12" x14ac:dyDescent="0.25">
      <c r="A38" t="s">
        <v>14</v>
      </c>
      <c r="B38" t="s">
        <v>6</v>
      </c>
      <c r="C38" s="13" t="s">
        <v>67</v>
      </c>
      <c r="E38" s="2">
        <v>34990</v>
      </c>
      <c r="F38" s="2">
        <f t="shared" si="0"/>
        <v>6648.1</v>
      </c>
      <c r="G38" s="5">
        <f t="shared" si="1"/>
        <v>41638.1</v>
      </c>
      <c r="H38" s="9" t="e">
        <f t="shared" si="2"/>
        <v>#DIV/0!</v>
      </c>
      <c r="I38" s="6" t="s">
        <v>8</v>
      </c>
      <c r="J38" s="4">
        <v>46102</v>
      </c>
      <c r="K38" s="8">
        <v>2312152384</v>
      </c>
      <c r="L38" s="8" t="s">
        <v>129</v>
      </c>
    </row>
    <row r="39" spans="1:12" x14ac:dyDescent="0.25">
      <c r="A39" t="s">
        <v>109</v>
      </c>
      <c r="B39" t="s">
        <v>59</v>
      </c>
      <c r="C39" s="13" t="s">
        <v>67</v>
      </c>
      <c r="E39" s="2">
        <v>34990</v>
      </c>
      <c r="F39" s="2">
        <f t="shared" si="0"/>
        <v>6648.1</v>
      </c>
      <c r="G39" s="5">
        <f t="shared" si="1"/>
        <v>41638.1</v>
      </c>
      <c r="H39" s="9" t="e">
        <f t="shared" si="2"/>
        <v>#DIV/0!</v>
      </c>
      <c r="I39" s="6" t="s">
        <v>8</v>
      </c>
      <c r="J39" s="4">
        <v>46102</v>
      </c>
      <c r="K39" s="8">
        <v>2312152384</v>
      </c>
      <c r="L39" s="8" t="s">
        <v>129</v>
      </c>
    </row>
    <row r="40" spans="1:12" x14ac:dyDescent="0.25">
      <c r="A40" t="s">
        <v>110</v>
      </c>
      <c r="B40" t="s">
        <v>59</v>
      </c>
      <c r="C40" s="13" t="s">
        <v>68</v>
      </c>
      <c r="E40" s="2">
        <v>8990</v>
      </c>
      <c r="F40" s="2">
        <f t="shared" si="0"/>
        <v>1708.1</v>
      </c>
      <c r="G40" s="5">
        <f t="shared" si="1"/>
        <v>0</v>
      </c>
      <c r="H40" s="9">
        <f t="shared" si="2"/>
        <v>10698.1</v>
      </c>
      <c r="I40" s="6" t="s">
        <v>8</v>
      </c>
      <c r="J40" s="4">
        <v>46102</v>
      </c>
      <c r="K40" s="8">
        <v>2312152384</v>
      </c>
      <c r="L40" s="8" t="s">
        <v>129</v>
      </c>
    </row>
    <row r="41" spans="1:12" x14ac:dyDescent="0.25">
      <c r="A41" t="s">
        <v>111</v>
      </c>
      <c r="B41" t="s">
        <v>7</v>
      </c>
      <c r="C41" s="13" t="s">
        <v>68</v>
      </c>
      <c r="E41" s="2">
        <v>13990</v>
      </c>
      <c r="F41" s="2">
        <f t="shared" si="0"/>
        <v>2658.1</v>
      </c>
      <c r="G41" s="5">
        <f t="shared" si="1"/>
        <v>0</v>
      </c>
      <c r="H41" s="9">
        <f t="shared" si="2"/>
        <v>16648.099999999999</v>
      </c>
      <c r="I41" s="6" t="s">
        <v>8</v>
      </c>
      <c r="J41" s="4">
        <v>46102</v>
      </c>
      <c r="K41" s="8">
        <v>2312152384</v>
      </c>
      <c r="L41" s="8" t="s">
        <v>129</v>
      </c>
    </row>
    <row r="42" spans="1:12" x14ac:dyDescent="0.25">
      <c r="A42" t="s">
        <v>112</v>
      </c>
      <c r="B42" t="s">
        <v>7</v>
      </c>
      <c r="C42" s="13" t="s">
        <v>68</v>
      </c>
      <c r="E42" s="2">
        <v>13990</v>
      </c>
      <c r="F42" s="2">
        <f t="shared" si="0"/>
        <v>2658.1</v>
      </c>
      <c r="G42" s="5">
        <f t="shared" si="1"/>
        <v>0</v>
      </c>
      <c r="H42" s="9">
        <f t="shared" si="2"/>
        <v>16648.099999999999</v>
      </c>
      <c r="I42" s="6" t="s">
        <v>8</v>
      </c>
      <c r="J42" s="4">
        <v>46102</v>
      </c>
      <c r="K42" s="8">
        <v>2312152384</v>
      </c>
      <c r="L42" s="8" t="s">
        <v>129</v>
      </c>
    </row>
    <row r="43" spans="1:12" x14ac:dyDescent="0.25">
      <c r="A43" t="s">
        <v>113</v>
      </c>
      <c r="B43" t="s">
        <v>3</v>
      </c>
      <c r="C43" s="13" t="s">
        <v>67</v>
      </c>
      <c r="E43" s="2">
        <v>34990</v>
      </c>
      <c r="F43" s="2">
        <f t="shared" si="0"/>
        <v>6648.1</v>
      </c>
      <c r="G43" s="5">
        <f t="shared" si="1"/>
        <v>41638.1</v>
      </c>
      <c r="H43" s="9" t="e">
        <f t="shared" si="2"/>
        <v>#DIV/0!</v>
      </c>
      <c r="I43" s="6" t="s">
        <v>8</v>
      </c>
      <c r="J43" s="4">
        <v>46102</v>
      </c>
      <c r="K43" s="8">
        <v>2312152384</v>
      </c>
      <c r="L43" s="8" t="s">
        <v>129</v>
      </c>
    </row>
    <row r="44" spans="1:12" x14ac:dyDescent="0.25">
      <c r="A44" t="s">
        <v>61</v>
      </c>
      <c r="B44" t="s">
        <v>59</v>
      </c>
      <c r="C44" s="13" t="s">
        <v>68</v>
      </c>
      <c r="E44" s="2">
        <v>13900</v>
      </c>
      <c r="F44" s="2">
        <f t="shared" si="0"/>
        <v>2641</v>
      </c>
      <c r="G44" s="5">
        <f t="shared" si="1"/>
        <v>0</v>
      </c>
      <c r="H44" s="9">
        <f t="shared" si="2"/>
        <v>16541</v>
      </c>
      <c r="I44" s="6" t="s">
        <v>8</v>
      </c>
      <c r="J44" s="4">
        <v>46105</v>
      </c>
      <c r="K44" s="8">
        <v>2312152923</v>
      </c>
      <c r="L44" s="8" t="s">
        <v>44</v>
      </c>
    </row>
    <row r="45" spans="1:12" x14ac:dyDescent="0.25">
      <c r="A45" t="s">
        <v>93</v>
      </c>
      <c r="B45" t="s">
        <v>5</v>
      </c>
      <c r="C45" s="13" t="s">
        <v>68</v>
      </c>
      <c r="E45" s="2">
        <v>13990</v>
      </c>
      <c r="F45" s="2">
        <f t="shared" si="0"/>
        <v>2658.1</v>
      </c>
      <c r="G45" s="5">
        <f t="shared" si="1"/>
        <v>0</v>
      </c>
      <c r="H45" s="9">
        <f t="shared" si="2"/>
        <v>16648.099999999999</v>
      </c>
      <c r="I45" s="6" t="s">
        <v>8</v>
      </c>
      <c r="J45" s="4">
        <v>46105</v>
      </c>
      <c r="K45" s="8">
        <v>2312152705</v>
      </c>
      <c r="L45" s="8" t="s">
        <v>129</v>
      </c>
    </row>
    <row r="46" spans="1:12" x14ac:dyDescent="0.25">
      <c r="A46" s="15" t="s">
        <v>63</v>
      </c>
      <c r="B46" s="20" t="s">
        <v>3</v>
      </c>
      <c r="C46" s="13" t="s">
        <v>68</v>
      </c>
      <c r="E46" s="2">
        <v>10990</v>
      </c>
      <c r="F46" s="2">
        <f t="shared" si="0"/>
        <v>2088.1</v>
      </c>
      <c r="G46" s="5">
        <f t="shared" si="1"/>
        <v>0</v>
      </c>
      <c r="H46" s="9">
        <f t="shared" si="2"/>
        <v>13078.1</v>
      </c>
      <c r="I46" s="6" t="s">
        <v>8</v>
      </c>
      <c r="J46" s="4">
        <v>46098</v>
      </c>
      <c r="K46" s="8">
        <v>2312151326</v>
      </c>
      <c r="L46" s="8" t="s">
        <v>129</v>
      </c>
    </row>
    <row r="47" spans="1:12" x14ac:dyDescent="0.25">
      <c r="A47" s="15" t="s">
        <v>118</v>
      </c>
      <c r="B47" t="s">
        <v>3</v>
      </c>
      <c r="C47" s="13" t="s">
        <v>68</v>
      </c>
      <c r="E47" s="2">
        <v>13900</v>
      </c>
      <c r="F47" s="2">
        <f t="shared" si="0"/>
        <v>2641</v>
      </c>
      <c r="G47" s="5">
        <f t="shared" si="1"/>
        <v>0</v>
      </c>
      <c r="H47" s="9">
        <f t="shared" si="2"/>
        <v>16541</v>
      </c>
      <c r="I47" t="s">
        <v>43</v>
      </c>
      <c r="J47" s="4">
        <v>46107</v>
      </c>
      <c r="K47" s="8" t="s">
        <v>128</v>
      </c>
      <c r="L47" s="8" t="s">
        <v>44</v>
      </c>
    </row>
    <row r="48" spans="1:12" x14ac:dyDescent="0.25">
      <c r="A48" s="15" t="s">
        <v>119</v>
      </c>
      <c r="B48" t="s">
        <v>3</v>
      </c>
      <c r="C48" s="13" t="s">
        <v>68</v>
      </c>
      <c r="E48" s="2">
        <v>13500</v>
      </c>
      <c r="F48" s="2">
        <f t="shared" si="0"/>
        <v>2565</v>
      </c>
      <c r="G48" s="5">
        <f t="shared" si="1"/>
        <v>0</v>
      </c>
      <c r="H48" s="9">
        <f t="shared" si="2"/>
        <v>16065</v>
      </c>
      <c r="I48" s="6" t="s">
        <v>43</v>
      </c>
      <c r="J48" s="4">
        <v>46107</v>
      </c>
      <c r="K48" s="8" t="s">
        <v>128</v>
      </c>
      <c r="L48" s="8" t="s">
        <v>44</v>
      </c>
    </row>
    <row r="49" spans="1:12" x14ac:dyDescent="0.25">
      <c r="A49" s="15" t="s">
        <v>120</v>
      </c>
      <c r="B49" t="s">
        <v>59</v>
      </c>
      <c r="C49" s="13" t="s">
        <v>68</v>
      </c>
      <c r="E49" s="2">
        <v>10900</v>
      </c>
      <c r="F49" s="2">
        <f t="shared" si="0"/>
        <v>2071</v>
      </c>
      <c r="G49" s="5">
        <f t="shared" si="1"/>
        <v>0</v>
      </c>
      <c r="H49" s="9">
        <f t="shared" si="2"/>
        <v>12971</v>
      </c>
      <c r="I49" s="6" t="s">
        <v>43</v>
      </c>
      <c r="J49" s="4">
        <v>46107</v>
      </c>
      <c r="K49" s="8" t="s">
        <v>128</v>
      </c>
      <c r="L49" s="8" t="s">
        <v>44</v>
      </c>
    </row>
    <row r="50" spans="1:12" x14ac:dyDescent="0.25">
      <c r="A50" s="15" t="s">
        <v>121</v>
      </c>
      <c r="B50" t="s">
        <v>122</v>
      </c>
      <c r="C50" s="13" t="s">
        <v>68</v>
      </c>
      <c r="E50" s="2">
        <v>13900</v>
      </c>
      <c r="F50" s="2">
        <f t="shared" si="0"/>
        <v>2641</v>
      </c>
      <c r="G50" s="5">
        <f t="shared" ref="G50:G63" si="3">IF(C50="K",E50+F50,0)</f>
        <v>0</v>
      </c>
      <c r="H50" s="9">
        <f t="shared" ref="H50:H63" si="4">IF(C50="M",E50+F50,IF(C50="K",G50/D50,0))</f>
        <v>16541</v>
      </c>
      <c r="I50" s="6" t="s">
        <v>43</v>
      </c>
      <c r="J50" s="4">
        <v>46107</v>
      </c>
      <c r="K50" s="8" t="s">
        <v>128</v>
      </c>
      <c r="L50" s="8" t="s">
        <v>44</v>
      </c>
    </row>
    <row r="51" spans="1:12" x14ac:dyDescent="0.25">
      <c r="A51" s="15" t="s">
        <v>123</v>
      </c>
      <c r="B51" t="s">
        <v>3</v>
      </c>
      <c r="C51" s="13" t="s">
        <v>68</v>
      </c>
      <c r="E51" s="2">
        <v>12900</v>
      </c>
      <c r="F51" s="2">
        <f t="shared" si="0"/>
        <v>2451</v>
      </c>
      <c r="G51" s="5">
        <f t="shared" si="3"/>
        <v>0</v>
      </c>
      <c r="H51" s="9">
        <f t="shared" si="4"/>
        <v>15351</v>
      </c>
      <c r="I51" s="6" t="s">
        <v>43</v>
      </c>
      <c r="J51" s="4">
        <v>46107</v>
      </c>
      <c r="K51" s="8" t="s">
        <v>128</v>
      </c>
      <c r="L51" s="8" t="s">
        <v>44</v>
      </c>
    </row>
    <row r="52" spans="1:12" x14ac:dyDescent="0.25">
      <c r="A52" s="15" t="s">
        <v>124</v>
      </c>
      <c r="B52" t="s">
        <v>3</v>
      </c>
      <c r="C52" s="13" t="s">
        <v>68</v>
      </c>
      <c r="E52" s="2">
        <v>14900</v>
      </c>
      <c r="F52" s="2">
        <f t="shared" si="0"/>
        <v>2831</v>
      </c>
      <c r="G52" s="5">
        <f t="shared" si="3"/>
        <v>0</v>
      </c>
      <c r="H52" s="9">
        <f t="shared" si="4"/>
        <v>17731</v>
      </c>
      <c r="I52" s="6" t="s">
        <v>43</v>
      </c>
      <c r="J52" s="4">
        <v>46107</v>
      </c>
      <c r="K52" s="8" t="s">
        <v>128</v>
      </c>
      <c r="L52" s="8" t="s">
        <v>44</v>
      </c>
    </row>
    <row r="53" spans="1:12" x14ac:dyDescent="0.25">
      <c r="A53" s="15" t="s">
        <v>125</v>
      </c>
      <c r="B53" t="s">
        <v>3</v>
      </c>
      <c r="C53" s="13" t="s">
        <v>68</v>
      </c>
      <c r="E53" s="2">
        <v>14500</v>
      </c>
      <c r="F53" s="2">
        <f t="shared" si="0"/>
        <v>2755</v>
      </c>
      <c r="G53" s="5">
        <f t="shared" si="3"/>
        <v>0</v>
      </c>
      <c r="H53" s="9">
        <f t="shared" si="4"/>
        <v>17255</v>
      </c>
      <c r="I53" s="6" t="s">
        <v>43</v>
      </c>
      <c r="J53" s="4">
        <v>46107</v>
      </c>
      <c r="K53" s="8" t="s">
        <v>128</v>
      </c>
      <c r="L53" s="8" t="s">
        <v>44</v>
      </c>
    </row>
    <row r="54" spans="1:12" x14ac:dyDescent="0.25">
      <c r="A54" s="15" t="s">
        <v>126</v>
      </c>
      <c r="B54" t="s">
        <v>3</v>
      </c>
      <c r="C54" s="13" t="s">
        <v>67</v>
      </c>
      <c r="E54" s="2">
        <v>24000</v>
      </c>
      <c r="F54" s="2">
        <f t="shared" si="0"/>
        <v>4560</v>
      </c>
      <c r="G54" s="5">
        <f t="shared" si="3"/>
        <v>28560</v>
      </c>
      <c r="H54" s="9" t="e">
        <f t="shared" si="4"/>
        <v>#DIV/0!</v>
      </c>
      <c r="I54" s="6" t="s">
        <v>43</v>
      </c>
      <c r="J54" s="4">
        <v>46107</v>
      </c>
      <c r="K54" s="8" t="s">
        <v>128</v>
      </c>
      <c r="L54" s="8" t="s">
        <v>44</v>
      </c>
    </row>
    <row r="55" spans="1:12" x14ac:dyDescent="0.25">
      <c r="A55" s="15" t="s">
        <v>135</v>
      </c>
      <c r="B55" t="s">
        <v>3</v>
      </c>
      <c r="C55" s="13" t="s">
        <v>68</v>
      </c>
      <c r="E55" s="2">
        <v>21990</v>
      </c>
      <c r="F55" s="2">
        <f t="shared" si="0"/>
        <v>4178.1000000000004</v>
      </c>
      <c r="G55" s="5">
        <f t="shared" si="3"/>
        <v>0</v>
      </c>
      <c r="H55" s="9">
        <f t="shared" si="4"/>
        <v>26168.1</v>
      </c>
      <c r="I55" t="s">
        <v>8</v>
      </c>
      <c r="J55" s="4">
        <v>46108</v>
      </c>
      <c r="K55" s="8">
        <v>2312153919</v>
      </c>
      <c r="L55" s="8" t="s">
        <v>129</v>
      </c>
    </row>
    <row r="56" spans="1:12" x14ac:dyDescent="0.25">
      <c r="A56" s="15" t="s">
        <v>136</v>
      </c>
      <c r="B56" t="s">
        <v>137</v>
      </c>
      <c r="C56" s="13" t="s">
        <v>68</v>
      </c>
      <c r="E56" s="2">
        <v>9900</v>
      </c>
      <c r="F56" s="2">
        <f t="shared" si="0"/>
        <v>1881</v>
      </c>
      <c r="G56" s="5">
        <f t="shared" si="3"/>
        <v>0</v>
      </c>
      <c r="H56" s="9">
        <f t="shared" si="4"/>
        <v>11781</v>
      </c>
      <c r="I56" s="6" t="s">
        <v>43</v>
      </c>
      <c r="J56" s="4">
        <v>46107</v>
      </c>
      <c r="K56" s="8" t="s">
        <v>138</v>
      </c>
      <c r="L56" s="8" t="s">
        <v>44</v>
      </c>
    </row>
    <row r="57" spans="1:12" x14ac:dyDescent="0.25">
      <c r="A57" s="15" t="s">
        <v>136</v>
      </c>
      <c r="B57" t="s">
        <v>122</v>
      </c>
      <c r="C57" s="13" t="s">
        <v>68</v>
      </c>
      <c r="E57" s="2">
        <v>9900</v>
      </c>
      <c r="F57" s="2">
        <f t="shared" si="0"/>
        <v>1881</v>
      </c>
      <c r="G57" s="5">
        <f t="shared" si="3"/>
        <v>0</v>
      </c>
      <c r="H57" s="9">
        <f t="shared" si="4"/>
        <v>11781</v>
      </c>
      <c r="I57" s="6" t="s">
        <v>43</v>
      </c>
      <c r="J57" s="4">
        <v>46107</v>
      </c>
      <c r="K57" s="8" t="s">
        <v>138</v>
      </c>
      <c r="L57" s="8" t="s">
        <v>44</v>
      </c>
    </row>
    <row r="58" spans="1:12" x14ac:dyDescent="0.25">
      <c r="A58" s="15" t="s">
        <v>126</v>
      </c>
      <c r="B58" s="6" t="s">
        <v>3</v>
      </c>
      <c r="C58" s="13" t="s">
        <v>67</v>
      </c>
      <c r="D58" s="21"/>
      <c r="E58" s="2">
        <v>24000</v>
      </c>
      <c r="F58" s="2">
        <f t="shared" ref="F58:F63" si="5">E58*$F$1</f>
        <v>4560</v>
      </c>
      <c r="G58" s="5">
        <f t="shared" ref="G58" si="6">IF(C58="K",E58+F58,0)</f>
        <v>28560</v>
      </c>
      <c r="H58" s="9" t="e">
        <f t="shared" ref="H58" si="7">IF(C58="M",E58+F58,IF(C58="K",G58/D58,0))</f>
        <v>#DIV/0!</v>
      </c>
      <c r="I58" s="6" t="s">
        <v>43</v>
      </c>
      <c r="J58" s="4">
        <v>46108</v>
      </c>
      <c r="K58" s="8" t="s">
        <v>139</v>
      </c>
      <c r="L58" s="8" t="s">
        <v>44</v>
      </c>
    </row>
    <row r="59" spans="1:12" x14ac:dyDescent="0.25">
      <c r="A59" s="15" t="s">
        <v>144</v>
      </c>
      <c r="B59" t="s">
        <v>145</v>
      </c>
      <c r="C59" s="13" t="s">
        <v>68</v>
      </c>
      <c r="E59" s="2">
        <v>10500</v>
      </c>
      <c r="F59" s="2">
        <f t="shared" si="5"/>
        <v>1995</v>
      </c>
      <c r="G59" s="5">
        <f t="shared" si="3"/>
        <v>0</v>
      </c>
      <c r="H59" s="9">
        <f t="shared" si="4"/>
        <v>12495</v>
      </c>
      <c r="I59" t="s">
        <v>10</v>
      </c>
      <c r="J59" s="4">
        <v>46107</v>
      </c>
      <c r="K59" s="8">
        <v>1111459874</v>
      </c>
      <c r="L59" s="8" t="s">
        <v>129</v>
      </c>
    </row>
    <row r="60" spans="1:12" x14ac:dyDescent="0.25">
      <c r="A60" s="15" t="s">
        <v>147</v>
      </c>
      <c r="B60" t="s">
        <v>146</v>
      </c>
      <c r="C60" s="13" t="s">
        <v>68</v>
      </c>
      <c r="E60" s="2">
        <v>17500</v>
      </c>
      <c r="F60" s="2">
        <f t="shared" si="5"/>
        <v>3325</v>
      </c>
      <c r="G60" s="5">
        <f t="shared" si="3"/>
        <v>0</v>
      </c>
      <c r="H60" s="9">
        <f t="shared" si="4"/>
        <v>20825</v>
      </c>
      <c r="I60" s="6" t="s">
        <v>10</v>
      </c>
      <c r="J60" s="4">
        <v>46107</v>
      </c>
      <c r="K60" s="8">
        <v>1111459874</v>
      </c>
      <c r="L60" s="8" t="s">
        <v>129</v>
      </c>
    </row>
    <row r="61" spans="1:12" x14ac:dyDescent="0.25">
      <c r="A61" s="15" t="s">
        <v>148</v>
      </c>
      <c r="B61" t="s">
        <v>9</v>
      </c>
      <c r="C61" s="13" t="s">
        <v>68</v>
      </c>
      <c r="E61" s="2">
        <v>9200</v>
      </c>
      <c r="F61" s="2">
        <f t="shared" si="5"/>
        <v>1748</v>
      </c>
      <c r="G61" s="5">
        <f t="shared" si="3"/>
        <v>0</v>
      </c>
      <c r="H61" s="9">
        <f t="shared" si="4"/>
        <v>10948</v>
      </c>
      <c r="I61" s="6" t="s">
        <v>10</v>
      </c>
      <c r="J61" s="4">
        <v>46107</v>
      </c>
      <c r="K61" s="8">
        <v>1111459874</v>
      </c>
      <c r="L61" s="8" t="s">
        <v>129</v>
      </c>
    </row>
    <row r="62" spans="1:12" x14ac:dyDescent="0.25">
      <c r="A62" s="15" t="s">
        <v>149</v>
      </c>
      <c r="B62" t="s">
        <v>146</v>
      </c>
      <c r="C62" s="13" t="s">
        <v>68</v>
      </c>
      <c r="E62" s="2">
        <v>14900</v>
      </c>
      <c r="F62" s="2">
        <f t="shared" si="5"/>
        <v>2831</v>
      </c>
      <c r="G62" s="5">
        <f t="shared" si="3"/>
        <v>0</v>
      </c>
      <c r="H62" s="9">
        <f t="shared" si="4"/>
        <v>17731</v>
      </c>
      <c r="I62" s="6" t="s">
        <v>10</v>
      </c>
      <c r="J62" s="4">
        <v>46107</v>
      </c>
      <c r="K62" s="8">
        <v>1111459874</v>
      </c>
      <c r="L62" s="8" t="s">
        <v>129</v>
      </c>
    </row>
    <row r="63" spans="1:12" x14ac:dyDescent="0.25">
      <c r="A63" s="15" t="s">
        <v>150</v>
      </c>
      <c r="B63" t="s">
        <v>151</v>
      </c>
      <c r="C63" s="13" t="s">
        <v>68</v>
      </c>
      <c r="E63" s="2">
        <v>11200</v>
      </c>
      <c r="F63" s="2">
        <f t="shared" si="5"/>
        <v>2128</v>
      </c>
      <c r="G63" s="5">
        <f t="shared" si="3"/>
        <v>0</v>
      </c>
      <c r="H63" s="9">
        <f t="shared" si="4"/>
        <v>13328</v>
      </c>
      <c r="I63" s="6" t="s">
        <v>10</v>
      </c>
      <c r="J63" s="4">
        <v>46107</v>
      </c>
      <c r="K63" s="8">
        <v>1111459874</v>
      </c>
      <c r="L63" s="8" t="s">
        <v>129</v>
      </c>
    </row>
  </sheetData>
  <phoneticPr fontId="4" type="noConversion"/>
  <conditionalFormatting sqref="C59:C63 C2:C57">
    <cfRule type="cellIs" dxfId="3" priority="5" operator="equal">
      <formula>"K"</formula>
    </cfRule>
    <cfRule type="cellIs" dxfId="2" priority="6" operator="equal">
      <formula>"M"</formula>
    </cfRule>
  </conditionalFormatting>
  <conditionalFormatting sqref="C58">
    <cfRule type="cellIs" dxfId="1" priority="1" operator="equal">
      <formula>"K"</formula>
    </cfRule>
    <cfRule type="cellIs" dxfId="0" priority="2" operator="equal">
      <formula>"M"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TELAS 1</vt:lpstr>
      <vt:lpstr> MUESTRAS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2026-04-18T13:18:09Z</dcterms:modified>
</cp:coreProperties>
</file>